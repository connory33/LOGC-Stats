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9153f6611ebe33/Documents/Hunting Data/"/>
    </mc:Choice>
  </mc:AlternateContent>
  <xr:revisionPtr revIDLastSave="583" documentId="8_{29F3ABBB-D82D-4D93-83B8-9233ECB04D55}" xr6:coauthVersionLast="47" xr6:coauthVersionMax="47" xr10:uidLastSave="{C27C0E88-2314-4329-B9C2-696C8028480F}"/>
  <bookViews>
    <workbookView xWindow="-120" yWindow="-120" windowWidth="38640" windowHeight="21240" xr2:uid="{FDA17AAC-9089-415D-B005-ED1660AC87E8}"/>
  </bookViews>
  <sheets>
    <sheet name="11_22_25 TODO" sheetId="18" r:id="rId1"/>
    <sheet name="11_19_25" sheetId="17" r:id="rId2"/>
    <sheet name="11_16_25" sheetId="16" r:id="rId3"/>
    <sheet name="11_15_25" sheetId="15" r:id="rId4"/>
    <sheet name="11_12_25" sheetId="14" r:id="rId5"/>
    <sheet name="11_9_25" sheetId="13" r:id="rId6"/>
    <sheet name="11_8_25" sheetId="12" r:id="rId7"/>
    <sheet name="11_5_25" sheetId="11" r:id="rId8"/>
    <sheet name="11_2_25" sheetId="10" r:id="rId9"/>
    <sheet name="11_1_25" sheetId="9" r:id="rId10"/>
    <sheet name="10_29_25" sheetId="8" r:id="rId11"/>
    <sheet name="10_26_25" sheetId="7" r:id="rId12"/>
    <sheet name="10_25_25" sheetId="6" r:id="rId13"/>
    <sheet name="10_22_25" sheetId="5" r:id="rId14"/>
    <sheet name="10_19_25" sheetId="4" r:id="rId15"/>
    <sheet name="10_18_25" sheetId="2" r:id="rId16"/>
    <sheet name="Sheet3" sheetId="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8" l="1"/>
  <c r="M17" i="18"/>
  <c r="L17" i="18"/>
  <c r="K17" i="18"/>
  <c r="J17" i="18"/>
  <c r="I17" i="18"/>
  <c r="H17" i="18"/>
  <c r="G17" i="18"/>
  <c r="F17" i="18"/>
  <c r="R9" i="18" s="1"/>
  <c r="E17" i="18"/>
  <c r="O16" i="18"/>
  <c r="O15" i="18"/>
  <c r="O14" i="18"/>
  <c r="O13" i="18"/>
  <c r="O12" i="18"/>
  <c r="O11" i="18"/>
  <c r="R10" i="18"/>
  <c r="O10" i="18"/>
  <c r="O9" i="18"/>
  <c r="O8" i="18"/>
  <c r="O7" i="18"/>
  <c r="O6" i="18"/>
  <c r="O5" i="18"/>
  <c r="O4" i="18"/>
  <c r="O3" i="18"/>
  <c r="N17" i="17"/>
  <c r="M17" i="17"/>
  <c r="L17" i="17"/>
  <c r="K17" i="17"/>
  <c r="J17" i="17"/>
  <c r="I17" i="17"/>
  <c r="H17" i="17"/>
  <c r="G17" i="17"/>
  <c r="F17" i="17"/>
  <c r="E17" i="17"/>
  <c r="O16" i="17"/>
  <c r="O15" i="17"/>
  <c r="O14" i="17"/>
  <c r="O13" i="17"/>
  <c r="O12" i="17"/>
  <c r="O11" i="17"/>
  <c r="R10" i="17"/>
  <c r="O10" i="17"/>
  <c r="O9" i="17"/>
  <c r="O8" i="17"/>
  <c r="O7" i="17"/>
  <c r="O6" i="17"/>
  <c r="O5" i="17"/>
  <c r="O4" i="17"/>
  <c r="O3" i="17"/>
  <c r="N17" i="16"/>
  <c r="M17" i="16"/>
  <c r="L17" i="16"/>
  <c r="K17" i="16"/>
  <c r="J17" i="16"/>
  <c r="I17" i="16"/>
  <c r="H17" i="16"/>
  <c r="G17" i="16"/>
  <c r="F17" i="16"/>
  <c r="E17" i="16"/>
  <c r="O16" i="16"/>
  <c r="O15" i="16"/>
  <c r="O14" i="16"/>
  <c r="O13" i="16"/>
  <c r="O12" i="16"/>
  <c r="O11" i="16"/>
  <c r="R10" i="16"/>
  <c r="O10" i="16"/>
  <c r="O9" i="16"/>
  <c r="O8" i="16"/>
  <c r="O7" i="16"/>
  <c r="O6" i="16"/>
  <c r="O5" i="16"/>
  <c r="O4" i="16"/>
  <c r="O3" i="16"/>
  <c r="N17" i="15"/>
  <c r="M17" i="15"/>
  <c r="R10" i="15" s="1"/>
  <c r="L17" i="15"/>
  <c r="K17" i="15"/>
  <c r="J17" i="15"/>
  <c r="I17" i="15"/>
  <c r="H17" i="15"/>
  <c r="G17" i="15"/>
  <c r="F17" i="15"/>
  <c r="R9" i="15" s="1"/>
  <c r="E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N17" i="14"/>
  <c r="M17" i="14"/>
  <c r="R10" i="14" s="1"/>
  <c r="L17" i="14"/>
  <c r="K17" i="14"/>
  <c r="J17" i="14"/>
  <c r="I17" i="14"/>
  <c r="H17" i="14"/>
  <c r="G17" i="14"/>
  <c r="F17" i="14"/>
  <c r="R9" i="14" s="1"/>
  <c r="E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N18" i="13"/>
  <c r="M18" i="13"/>
  <c r="L18" i="13"/>
  <c r="K18" i="13"/>
  <c r="J18" i="13"/>
  <c r="I18" i="13"/>
  <c r="H18" i="13"/>
  <c r="G18" i="13"/>
  <c r="F18" i="13"/>
  <c r="E18" i="13"/>
  <c r="O17" i="13"/>
  <c r="O15" i="13"/>
  <c r="O14" i="13"/>
  <c r="O13" i="13"/>
  <c r="O12" i="13"/>
  <c r="O11" i="13"/>
  <c r="R10" i="13"/>
  <c r="O10" i="13"/>
  <c r="O9" i="13"/>
  <c r="O8" i="13"/>
  <c r="O7" i="13"/>
  <c r="O6" i="13"/>
  <c r="O5" i="13"/>
  <c r="O4" i="13"/>
  <c r="O3" i="13"/>
  <c r="N17" i="12"/>
  <c r="M17" i="12"/>
  <c r="R10" i="12" s="1"/>
  <c r="L17" i="12"/>
  <c r="K17" i="12"/>
  <c r="J17" i="12"/>
  <c r="I17" i="12"/>
  <c r="H17" i="12"/>
  <c r="G17" i="12"/>
  <c r="F17" i="12"/>
  <c r="E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N17" i="11"/>
  <c r="M17" i="11"/>
  <c r="R10" i="11" s="1"/>
  <c r="L17" i="11"/>
  <c r="K17" i="11"/>
  <c r="J17" i="11"/>
  <c r="I17" i="11"/>
  <c r="H17" i="11"/>
  <c r="G17" i="11"/>
  <c r="F17" i="11"/>
  <c r="E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N17" i="10"/>
  <c r="M17" i="10"/>
  <c r="L17" i="10"/>
  <c r="K17" i="10"/>
  <c r="J17" i="10"/>
  <c r="I17" i="10"/>
  <c r="H17" i="10"/>
  <c r="G17" i="10"/>
  <c r="F17" i="10"/>
  <c r="R9" i="10" s="1"/>
  <c r="E17" i="10"/>
  <c r="O16" i="10"/>
  <c r="O15" i="10"/>
  <c r="O14" i="10"/>
  <c r="O13" i="10"/>
  <c r="O12" i="10"/>
  <c r="O11" i="10"/>
  <c r="R10" i="10"/>
  <c r="O10" i="10"/>
  <c r="O9" i="10"/>
  <c r="O8" i="10"/>
  <c r="O7" i="10"/>
  <c r="O6" i="10"/>
  <c r="O5" i="10"/>
  <c r="O4" i="10"/>
  <c r="O3" i="10"/>
  <c r="N17" i="9"/>
  <c r="M17" i="9"/>
  <c r="R10" i="9" s="1"/>
  <c r="L17" i="9"/>
  <c r="K17" i="9"/>
  <c r="J17" i="9"/>
  <c r="I17" i="9"/>
  <c r="H17" i="9"/>
  <c r="G17" i="9"/>
  <c r="F17" i="9"/>
  <c r="E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N17" i="8"/>
  <c r="M17" i="8"/>
  <c r="R10" i="8" s="1"/>
  <c r="L17" i="8"/>
  <c r="K17" i="8"/>
  <c r="J17" i="8"/>
  <c r="I17" i="8"/>
  <c r="H17" i="8"/>
  <c r="G17" i="8"/>
  <c r="F17" i="8"/>
  <c r="E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N17" i="7"/>
  <c r="M17" i="7"/>
  <c r="L17" i="7"/>
  <c r="K17" i="7"/>
  <c r="J17" i="7"/>
  <c r="I17" i="7"/>
  <c r="H17" i="7"/>
  <c r="G17" i="7"/>
  <c r="F17" i="7"/>
  <c r="E17" i="7"/>
  <c r="O16" i="7"/>
  <c r="O15" i="7"/>
  <c r="O14" i="7"/>
  <c r="O13" i="7"/>
  <c r="O12" i="7"/>
  <c r="O11" i="7"/>
  <c r="R10" i="7"/>
  <c r="O10" i="7"/>
  <c r="O9" i="7"/>
  <c r="O8" i="7"/>
  <c r="O7" i="7"/>
  <c r="O6" i="7"/>
  <c r="O5" i="7"/>
  <c r="O4" i="7"/>
  <c r="O3" i="7"/>
  <c r="N17" i="6"/>
  <c r="M17" i="6"/>
  <c r="R10" i="6" s="1"/>
  <c r="L17" i="6"/>
  <c r="K17" i="6"/>
  <c r="J17" i="6"/>
  <c r="I17" i="6"/>
  <c r="H17" i="6"/>
  <c r="G17" i="6"/>
  <c r="F17" i="6"/>
  <c r="E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N17" i="5"/>
  <c r="M17" i="5"/>
  <c r="R10" i="5" s="1"/>
  <c r="L17" i="5"/>
  <c r="K17" i="5"/>
  <c r="J17" i="5"/>
  <c r="I17" i="5"/>
  <c r="H17" i="5"/>
  <c r="G17" i="5"/>
  <c r="F17" i="5"/>
  <c r="E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N17" i="4"/>
  <c r="M17" i="4"/>
  <c r="R10" i="4" s="1"/>
  <c r="L17" i="4"/>
  <c r="K17" i="4"/>
  <c r="J17" i="4"/>
  <c r="I17" i="4"/>
  <c r="H17" i="4"/>
  <c r="G17" i="4"/>
  <c r="F17" i="4"/>
  <c r="E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N17" i="3"/>
  <c r="M17" i="3"/>
  <c r="L17" i="3"/>
  <c r="K17" i="3"/>
  <c r="J17" i="3"/>
  <c r="I17" i="3"/>
  <c r="H17" i="3"/>
  <c r="G17" i="3"/>
  <c r="F17" i="3"/>
  <c r="E17" i="3"/>
  <c r="O16" i="3"/>
  <c r="O15" i="3"/>
  <c r="O14" i="3"/>
  <c r="O13" i="3"/>
  <c r="O12" i="3"/>
  <c r="O11" i="3"/>
  <c r="R10" i="3"/>
  <c r="O10" i="3"/>
  <c r="O9" i="3"/>
  <c r="O8" i="3"/>
  <c r="O7" i="3"/>
  <c r="O6" i="3"/>
  <c r="O5" i="3"/>
  <c r="O4" i="3"/>
  <c r="O3" i="3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3" i="2"/>
  <c r="N17" i="2"/>
  <c r="M17" i="2"/>
  <c r="R10" i="2" s="1"/>
  <c r="L17" i="2"/>
  <c r="K17" i="2"/>
  <c r="J17" i="2"/>
  <c r="I17" i="2"/>
  <c r="H17" i="2"/>
  <c r="G17" i="2"/>
  <c r="F17" i="2"/>
  <c r="R8" i="2" s="1"/>
  <c r="E17" i="2"/>
  <c r="R8" i="18" l="1"/>
  <c r="R9" i="17"/>
  <c r="R8" i="17"/>
  <c r="R9" i="16"/>
  <c r="R8" i="16"/>
  <c r="R8" i="15"/>
  <c r="R8" i="14"/>
  <c r="R9" i="13"/>
  <c r="R8" i="13"/>
  <c r="R9" i="12"/>
  <c r="R8" i="12"/>
  <c r="R9" i="11"/>
  <c r="R8" i="11"/>
  <c r="R8" i="10"/>
  <c r="R9" i="9"/>
  <c r="R8" i="9"/>
  <c r="R8" i="8"/>
  <c r="R9" i="8"/>
  <c r="R8" i="7"/>
  <c r="R9" i="7"/>
  <c r="R8" i="6"/>
  <c r="R9" i="6"/>
  <c r="R8" i="5"/>
  <c r="R9" i="5"/>
  <c r="R8" i="4"/>
  <c r="R9" i="4"/>
  <c r="R8" i="3"/>
  <c r="R9" i="3"/>
  <c r="R9" i="2"/>
</calcChain>
</file>

<file path=xl/sharedStrings.xml><?xml version="1.0" encoding="utf-8"?>
<sst xmlns="http://schemas.openxmlformats.org/spreadsheetml/2006/main" count="678" uniqueCount="62">
  <si>
    <t>Member</t>
  </si>
  <si>
    <t>Guide</t>
  </si>
  <si>
    <t>Blind</t>
  </si>
  <si>
    <t>Guns</t>
  </si>
  <si>
    <t>Drake Mallard</t>
  </si>
  <si>
    <t>Hen Mallard</t>
  </si>
  <si>
    <t>Sprig</t>
  </si>
  <si>
    <t>Widgeon</t>
  </si>
  <si>
    <t>Teal</t>
  </si>
  <si>
    <t>Wood</t>
  </si>
  <si>
    <t>Other</t>
  </si>
  <si>
    <t>Geese</t>
  </si>
  <si>
    <t>Pheasant</t>
  </si>
  <si>
    <t>Kevin Harvey</t>
  </si>
  <si>
    <t>Daniel Davis</t>
  </si>
  <si>
    <t>JB Ferrarone</t>
  </si>
  <si>
    <t>Jay Abbe</t>
  </si>
  <si>
    <t>Mike Mountanos</t>
  </si>
  <si>
    <t>Tom Messervy</t>
  </si>
  <si>
    <t>Bob Lashinski</t>
  </si>
  <si>
    <t>Pete Sonsini</t>
  </si>
  <si>
    <t>Buster Posey</t>
  </si>
  <si>
    <t>Jean Young</t>
  </si>
  <si>
    <t>Casey Safreno</t>
  </si>
  <si>
    <t>Hank Wetzel</t>
  </si>
  <si>
    <t>Gavin Holles</t>
  </si>
  <si>
    <t>Dave Brett</t>
  </si>
  <si>
    <t>Day Total</t>
  </si>
  <si>
    <t>High</t>
  </si>
  <si>
    <t>Low</t>
  </si>
  <si>
    <t>Wind</t>
  </si>
  <si>
    <t>Conditions</t>
  </si>
  <si>
    <t>Kris</t>
  </si>
  <si>
    <t>Justin</t>
  </si>
  <si>
    <t>Garrett</t>
  </si>
  <si>
    <t>ESE 6-7 mph</t>
  </si>
  <si>
    <t>Sunny clear</t>
  </si>
  <si>
    <t>Anthony</t>
  </si>
  <si>
    <t>Total Mallards</t>
  </si>
  <si>
    <t>Total Geese</t>
  </si>
  <si>
    <t>Total Ducks</t>
  </si>
  <si>
    <t>Date</t>
  </si>
  <si>
    <t>Hunter Total</t>
  </si>
  <si>
    <t>0 mph</t>
  </si>
  <si>
    <t>SSE 10-12 mph</t>
  </si>
  <si>
    <t>Rain</t>
  </si>
  <si>
    <t>SSE 4-7 mph</t>
  </si>
  <si>
    <t>Gray Dome</t>
  </si>
  <si>
    <t>SSE 14 mph</t>
  </si>
  <si>
    <t>Rain Early, Gray later</t>
  </si>
  <si>
    <t>Clear</t>
  </si>
  <si>
    <t>NNW 5-6 mph</t>
  </si>
  <si>
    <t>1 mph</t>
  </si>
  <si>
    <t>SSE 15-18 mph</t>
  </si>
  <si>
    <t>Rainy gray</t>
  </si>
  <si>
    <t>Garrett Sheffield</t>
  </si>
  <si>
    <t>SSE 2-4 mph</t>
  </si>
  <si>
    <t>Fog early, gray dome</t>
  </si>
  <si>
    <t>N 5-7 mph</t>
  </si>
  <si>
    <t>SSE 12-15 mph</t>
  </si>
  <si>
    <t>Cloudy light rain</t>
  </si>
  <si>
    <t>Gray dome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</si>
</sst>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4" xfId="0" applyBorder="1"/>
    <xf numFmtId="0" fontId="1" fillId="0" borderId="7" xfId="0" applyFont="1" applyBorder="1"/>
    <xf numFmtId="0" fontId="1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48CB-591B-437C-829E-1AFE6F4F8FA2}">
  <dimension ref="B2:R21"/>
  <sheetViews>
    <sheetView tabSelected="1" workbookViewId="0">
      <selection activeCell="E37" sqref="E37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45983</v>
      </c>
    </row>
    <row r="3" spans="2:18" x14ac:dyDescent="0.25">
      <c r="B3" s="5" t="s">
        <v>16</v>
      </c>
      <c r="C3" s="1"/>
      <c r="D3" s="9">
        <v>7</v>
      </c>
      <c r="E3" s="7"/>
      <c r="O3" s="13">
        <f>SUM(F3:N3)</f>
        <v>0</v>
      </c>
      <c r="Q3" s="4" t="s">
        <v>28</v>
      </c>
      <c r="R3" s="17"/>
    </row>
    <row r="4" spans="2:18" x14ac:dyDescent="0.25">
      <c r="B4" s="5" t="s">
        <v>17</v>
      </c>
      <c r="C4" s="1"/>
      <c r="D4" s="9">
        <v>42</v>
      </c>
      <c r="E4" s="7"/>
      <c r="O4" s="13">
        <f t="shared" ref="O4:O16" si="0">SUM(F4:N4)</f>
        <v>0</v>
      </c>
      <c r="Q4" s="4" t="s">
        <v>29</v>
      </c>
      <c r="R4" s="17"/>
    </row>
    <row r="5" spans="2:18" x14ac:dyDescent="0.25">
      <c r="B5" s="5" t="s">
        <v>18</v>
      </c>
      <c r="C5" s="1"/>
      <c r="D5" s="9">
        <v>12</v>
      </c>
      <c r="E5" s="7"/>
      <c r="O5" s="13">
        <f t="shared" si="0"/>
        <v>0</v>
      </c>
      <c r="Q5" s="4" t="s">
        <v>30</v>
      </c>
      <c r="R5" s="17"/>
    </row>
    <row r="6" spans="2:18" x14ac:dyDescent="0.25">
      <c r="B6" s="5" t="s">
        <v>19</v>
      </c>
      <c r="C6" s="1"/>
      <c r="D6" s="9">
        <v>40</v>
      </c>
      <c r="E6" s="7"/>
      <c r="O6" s="13">
        <f t="shared" si="0"/>
        <v>0</v>
      </c>
      <c r="Q6" s="4" t="s">
        <v>31</v>
      </c>
      <c r="R6" s="17"/>
    </row>
    <row r="7" spans="2:18" x14ac:dyDescent="0.25">
      <c r="B7" s="5" t="s">
        <v>20</v>
      </c>
      <c r="C7" s="1"/>
      <c r="E7" s="7"/>
      <c r="O7" s="13">
        <f t="shared" si="0"/>
        <v>0</v>
      </c>
      <c r="R7" s="9"/>
    </row>
    <row r="8" spans="2:18" x14ac:dyDescent="0.25">
      <c r="B8" s="5" t="s">
        <v>21</v>
      </c>
      <c r="C8" s="1"/>
      <c r="E8" s="7"/>
      <c r="O8" s="13">
        <f t="shared" si="0"/>
        <v>0</v>
      </c>
      <c r="Q8" s="4" t="s">
        <v>40</v>
      </c>
      <c r="R8" s="10">
        <f>SUM(F17:L17)</f>
        <v>0</v>
      </c>
    </row>
    <row r="9" spans="2:18" x14ac:dyDescent="0.25">
      <c r="B9" s="5" t="s">
        <v>22</v>
      </c>
      <c r="C9" s="1"/>
      <c r="D9" s="9">
        <v>46</v>
      </c>
      <c r="E9" s="7"/>
      <c r="O9" s="13">
        <f t="shared" si="0"/>
        <v>0</v>
      </c>
      <c r="Q9" s="4" t="s">
        <v>38</v>
      </c>
      <c r="R9" s="10">
        <f>SUM(F17:G17)</f>
        <v>0</v>
      </c>
    </row>
    <row r="10" spans="2:18" x14ac:dyDescent="0.25">
      <c r="B10" s="5" t="s">
        <v>23</v>
      </c>
      <c r="C10" s="1"/>
      <c r="D10" s="9">
        <v>41</v>
      </c>
      <c r="E10" s="7"/>
      <c r="O10" s="13">
        <f t="shared" si="0"/>
        <v>0</v>
      </c>
      <c r="Q10" s="4" t="s">
        <v>39</v>
      </c>
      <c r="R10" s="10">
        <f>SUM(M17)</f>
        <v>0</v>
      </c>
    </row>
    <row r="11" spans="2:18" x14ac:dyDescent="0.25">
      <c r="B11" s="5" t="s">
        <v>24</v>
      </c>
      <c r="C11" s="1"/>
      <c r="E11" s="7"/>
      <c r="O11" s="13">
        <f t="shared" si="0"/>
        <v>0</v>
      </c>
    </row>
    <row r="12" spans="2:18" x14ac:dyDescent="0.25">
      <c r="B12" s="5" t="s">
        <v>25</v>
      </c>
      <c r="C12" s="1"/>
      <c r="E12" s="7"/>
      <c r="O12" s="13">
        <f t="shared" si="0"/>
        <v>0</v>
      </c>
    </row>
    <row r="13" spans="2:18" x14ac:dyDescent="0.25">
      <c r="B13" s="5" t="s">
        <v>26</v>
      </c>
      <c r="C13" s="1"/>
      <c r="E13" s="7"/>
      <c r="O13" s="13">
        <f t="shared" si="0"/>
        <v>0</v>
      </c>
    </row>
    <row r="14" spans="2:18" x14ac:dyDescent="0.25">
      <c r="B14" s="5" t="s">
        <v>13</v>
      </c>
      <c r="C14" s="1"/>
      <c r="E14" s="7"/>
      <c r="O14" s="13">
        <f t="shared" si="0"/>
        <v>0</v>
      </c>
    </row>
    <row r="15" spans="2:18" x14ac:dyDescent="0.25">
      <c r="B15" s="5" t="s">
        <v>14</v>
      </c>
      <c r="C15" s="1"/>
      <c r="E15" s="7"/>
      <c r="O15" s="13">
        <f t="shared" si="0"/>
        <v>0</v>
      </c>
    </row>
    <row r="16" spans="2:18" x14ac:dyDescent="0.25">
      <c r="B16" s="6" t="s">
        <v>15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0</v>
      </c>
      <c r="F17" s="11">
        <f t="shared" si="1"/>
        <v>0</v>
      </c>
      <c r="G17" s="11">
        <f t="shared" si="1"/>
        <v>0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11">
        <f t="shared" si="1"/>
        <v>0</v>
      </c>
      <c r="M17" s="11">
        <f t="shared" si="1"/>
        <v>0</v>
      </c>
      <c r="N17" s="11">
        <f t="shared" si="1"/>
        <v>0</v>
      </c>
      <c r="O17" s="12"/>
    </row>
    <row r="19" spans="2:15" x14ac:dyDescent="0.25">
      <c r="B19" t="s">
        <v>13</v>
      </c>
    </row>
    <row r="20" spans="2:15" x14ac:dyDescent="0.25">
      <c r="B20" t="s">
        <v>14</v>
      </c>
    </row>
    <row r="21" spans="2:15" x14ac:dyDescent="0.25">
      <c r="B2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3AB3-3A95-45D5-8542-1E3ACB06E9FC}">
  <dimension ref="B2:R17"/>
  <sheetViews>
    <sheetView workbookViewId="0">
      <selection activeCell="L17" sqref="L17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45980</v>
      </c>
    </row>
    <row r="3" spans="2:18" x14ac:dyDescent="0.25">
      <c r="B3" s="5" t="s">
        <v>13</v>
      </c>
      <c r="C3" s="1"/>
      <c r="D3" s="9">
        <v>25</v>
      </c>
      <c r="E3" s="7">
        <v>2</v>
      </c>
      <c r="L3" s="9">
        <v>2</v>
      </c>
      <c r="O3" s="13">
        <f>SUM(F3:N3)</f>
        <v>2</v>
      </c>
      <c r="Q3" s="4" t="s">
        <v>28</v>
      </c>
      <c r="R3" s="17">
        <v>64</v>
      </c>
    </row>
    <row r="4" spans="2:18" x14ac:dyDescent="0.25">
      <c r="B4" s="5" t="s">
        <v>14</v>
      </c>
      <c r="C4" s="1"/>
      <c r="E4" s="7"/>
      <c r="O4" s="13">
        <f t="shared" ref="O4:O16" si="0">SUM(F4:N4)</f>
        <v>0</v>
      </c>
      <c r="Q4" s="4" t="s">
        <v>29</v>
      </c>
      <c r="R4" s="17">
        <v>46</v>
      </c>
    </row>
    <row r="5" spans="2:18" x14ac:dyDescent="0.25">
      <c r="B5" s="5" t="s">
        <v>15</v>
      </c>
      <c r="C5" s="1"/>
      <c r="E5" s="7"/>
      <c r="O5" s="13">
        <f t="shared" si="0"/>
        <v>0</v>
      </c>
      <c r="Q5" s="4" t="s">
        <v>30</v>
      </c>
      <c r="R5" s="17" t="s">
        <v>43</v>
      </c>
    </row>
    <row r="6" spans="2:18" x14ac:dyDescent="0.25">
      <c r="B6" s="5" t="s">
        <v>16</v>
      </c>
      <c r="C6" s="1"/>
      <c r="E6" s="7"/>
      <c r="O6" s="13">
        <f t="shared" si="0"/>
        <v>0</v>
      </c>
      <c r="Q6" s="4" t="s">
        <v>31</v>
      </c>
      <c r="R6" s="17" t="s">
        <v>61</v>
      </c>
    </row>
    <row r="7" spans="2:18" x14ac:dyDescent="0.25">
      <c r="B7" s="5" t="s">
        <v>17</v>
      </c>
      <c r="C7" s="1"/>
      <c r="D7" s="9">
        <v>40</v>
      </c>
      <c r="E7" s="7">
        <v>2</v>
      </c>
      <c r="F7" s="9">
        <v>2</v>
      </c>
      <c r="K7" s="9">
        <v>2</v>
      </c>
      <c r="O7" s="13">
        <f t="shared" si="0"/>
        <v>4</v>
      </c>
      <c r="R7" s="9"/>
    </row>
    <row r="8" spans="2:18" x14ac:dyDescent="0.25">
      <c r="B8" s="5" t="s">
        <v>18</v>
      </c>
      <c r="C8" s="1"/>
      <c r="E8" s="7"/>
      <c r="O8" s="13">
        <f t="shared" si="0"/>
        <v>0</v>
      </c>
      <c r="Q8" s="4" t="s">
        <v>40</v>
      </c>
      <c r="R8" s="10">
        <f>SUM(F17:L17)</f>
        <v>24</v>
      </c>
    </row>
    <row r="9" spans="2:18" x14ac:dyDescent="0.25">
      <c r="B9" s="5" t="s">
        <v>19</v>
      </c>
      <c r="C9" s="1"/>
      <c r="E9" s="7"/>
      <c r="O9" s="13">
        <f t="shared" si="0"/>
        <v>0</v>
      </c>
      <c r="Q9" s="4" t="s">
        <v>38</v>
      </c>
      <c r="R9" s="10">
        <f>SUM(F17:G17)</f>
        <v>14</v>
      </c>
    </row>
    <row r="10" spans="2:18" x14ac:dyDescent="0.25">
      <c r="B10" s="5" t="s">
        <v>20</v>
      </c>
      <c r="C10" s="1"/>
      <c r="E10" s="7"/>
      <c r="O10" s="13">
        <f t="shared" si="0"/>
        <v>0</v>
      </c>
      <c r="Q10" s="4" t="s">
        <v>39</v>
      </c>
      <c r="R10" s="10">
        <f>SUM(M17)</f>
        <v>0</v>
      </c>
    </row>
    <row r="11" spans="2:18" x14ac:dyDescent="0.25">
      <c r="B11" s="5" t="s">
        <v>21</v>
      </c>
      <c r="C11" s="1"/>
      <c r="E11" s="7"/>
      <c r="O11" s="13">
        <f t="shared" si="0"/>
        <v>0</v>
      </c>
    </row>
    <row r="12" spans="2:18" x14ac:dyDescent="0.25">
      <c r="B12" s="5" t="s">
        <v>22</v>
      </c>
      <c r="C12" s="1"/>
      <c r="E12" s="7"/>
      <c r="O12" s="13">
        <f t="shared" si="0"/>
        <v>0</v>
      </c>
    </row>
    <row r="13" spans="2:18" x14ac:dyDescent="0.25">
      <c r="B13" s="5" t="s">
        <v>23</v>
      </c>
      <c r="C13" s="1"/>
      <c r="D13" s="9">
        <v>7</v>
      </c>
      <c r="E13" s="7">
        <v>1</v>
      </c>
      <c r="F13" s="9">
        <v>3</v>
      </c>
      <c r="G13" s="9">
        <v>1</v>
      </c>
      <c r="L13" s="9">
        <v>1</v>
      </c>
      <c r="O13" s="13">
        <f t="shared" si="0"/>
        <v>5</v>
      </c>
    </row>
    <row r="14" spans="2:18" x14ac:dyDescent="0.25">
      <c r="B14" s="5" t="s">
        <v>24</v>
      </c>
      <c r="C14" s="1"/>
      <c r="E14" s="7"/>
      <c r="O14" s="13">
        <f t="shared" si="0"/>
        <v>0</v>
      </c>
    </row>
    <row r="15" spans="2:18" x14ac:dyDescent="0.25">
      <c r="B15" s="5" t="s">
        <v>25</v>
      </c>
      <c r="C15" s="1"/>
      <c r="E15" s="7"/>
      <c r="O15" s="13">
        <f t="shared" si="0"/>
        <v>0</v>
      </c>
    </row>
    <row r="16" spans="2:18" x14ac:dyDescent="0.25">
      <c r="B16" s="6" t="s">
        <v>26</v>
      </c>
      <c r="C16" s="2"/>
      <c r="D16" s="14">
        <v>42</v>
      </c>
      <c r="E16" s="8">
        <v>2</v>
      </c>
      <c r="F16" s="14">
        <v>6</v>
      </c>
      <c r="G16" s="14">
        <v>2</v>
      </c>
      <c r="H16" s="14">
        <v>1</v>
      </c>
      <c r="I16" s="14"/>
      <c r="J16" s="14"/>
      <c r="K16" s="14">
        <v>1</v>
      </c>
      <c r="L16" s="14">
        <v>3</v>
      </c>
      <c r="M16" s="14"/>
      <c r="N16" s="14"/>
      <c r="O16" s="13">
        <f t="shared" si="0"/>
        <v>13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7</v>
      </c>
      <c r="F17" s="11">
        <f t="shared" si="1"/>
        <v>11</v>
      </c>
      <c r="G17" s="11">
        <f t="shared" si="1"/>
        <v>3</v>
      </c>
      <c r="H17" s="11">
        <f t="shared" si="1"/>
        <v>1</v>
      </c>
      <c r="I17" s="11">
        <f t="shared" si="1"/>
        <v>0</v>
      </c>
      <c r="J17" s="11">
        <f t="shared" si="1"/>
        <v>0</v>
      </c>
      <c r="K17" s="11">
        <f t="shared" si="1"/>
        <v>3</v>
      </c>
      <c r="L17" s="11">
        <f t="shared" si="1"/>
        <v>6</v>
      </c>
      <c r="M17" s="11">
        <f t="shared" si="1"/>
        <v>0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2C32-5460-4EF5-9733-4D3358B4AFEE}">
  <dimension ref="B2:R21"/>
  <sheetViews>
    <sheetView workbookViewId="0">
      <selection activeCell="H8" sqref="H8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45977</v>
      </c>
    </row>
    <row r="3" spans="2:18" x14ac:dyDescent="0.25">
      <c r="B3" s="5" t="s">
        <v>24</v>
      </c>
      <c r="C3" s="1"/>
      <c r="D3" s="9">
        <v>12</v>
      </c>
      <c r="E3" s="7">
        <v>3</v>
      </c>
      <c r="F3" s="9">
        <v>3</v>
      </c>
      <c r="G3" s="9">
        <v>1</v>
      </c>
      <c r="I3" s="9">
        <v>8</v>
      </c>
      <c r="L3" s="9">
        <v>9</v>
      </c>
      <c r="O3" s="13">
        <f>SUM(F3:N3)</f>
        <v>21</v>
      </c>
      <c r="Q3" s="4" t="s">
        <v>28</v>
      </c>
      <c r="R3" s="17">
        <v>62</v>
      </c>
    </row>
    <row r="4" spans="2:18" x14ac:dyDescent="0.25">
      <c r="B4" s="5" t="s">
        <v>25</v>
      </c>
      <c r="C4" s="1" t="s">
        <v>33</v>
      </c>
      <c r="D4" s="9">
        <v>40</v>
      </c>
      <c r="E4" s="7">
        <v>1</v>
      </c>
      <c r="F4" s="9">
        <v>6</v>
      </c>
      <c r="K4" s="9">
        <v>1</v>
      </c>
      <c r="O4" s="13">
        <f t="shared" ref="O4:O16" si="0">SUM(F4:N4)</f>
        <v>7</v>
      </c>
      <c r="Q4" s="4" t="s">
        <v>29</v>
      </c>
      <c r="R4" s="17">
        <v>42</v>
      </c>
    </row>
    <row r="5" spans="2:18" x14ac:dyDescent="0.25">
      <c r="B5" s="5" t="s">
        <v>26</v>
      </c>
      <c r="C5" s="1"/>
      <c r="E5" s="7"/>
      <c r="O5" s="13">
        <f t="shared" si="0"/>
        <v>0</v>
      </c>
      <c r="Q5" s="4" t="s">
        <v>30</v>
      </c>
      <c r="R5" s="17" t="s">
        <v>59</v>
      </c>
    </row>
    <row r="6" spans="2:18" x14ac:dyDescent="0.25">
      <c r="B6" s="5" t="s">
        <v>13</v>
      </c>
      <c r="C6" s="1"/>
      <c r="E6" s="7"/>
      <c r="O6" s="13">
        <f t="shared" si="0"/>
        <v>0</v>
      </c>
      <c r="Q6" s="4" t="s">
        <v>31</v>
      </c>
      <c r="R6" s="17" t="s">
        <v>60</v>
      </c>
    </row>
    <row r="7" spans="2:18" x14ac:dyDescent="0.25">
      <c r="B7" s="5" t="s">
        <v>14</v>
      </c>
      <c r="C7" s="1"/>
      <c r="E7" s="7"/>
      <c r="O7" s="13">
        <f t="shared" si="0"/>
        <v>0</v>
      </c>
      <c r="R7" s="9"/>
    </row>
    <row r="8" spans="2:18" x14ac:dyDescent="0.25">
      <c r="B8" s="5" t="s">
        <v>15</v>
      </c>
      <c r="C8" s="1"/>
      <c r="D8" s="9">
        <v>27</v>
      </c>
      <c r="E8" s="7">
        <v>2</v>
      </c>
      <c r="G8" s="9">
        <v>2</v>
      </c>
      <c r="O8" s="13">
        <f t="shared" si="0"/>
        <v>2</v>
      </c>
      <c r="Q8" s="4" t="s">
        <v>40</v>
      </c>
      <c r="R8" s="10">
        <f>SUM(F17:L17)</f>
        <v>30</v>
      </c>
    </row>
    <row r="9" spans="2:18" x14ac:dyDescent="0.25">
      <c r="B9" s="5" t="s">
        <v>16</v>
      </c>
      <c r="C9" s="1"/>
      <c r="E9" s="7"/>
      <c r="O9" s="13">
        <f t="shared" si="0"/>
        <v>0</v>
      </c>
      <c r="Q9" s="4" t="s">
        <v>38</v>
      </c>
      <c r="R9" s="10">
        <f>SUM(F17:G17)</f>
        <v>12</v>
      </c>
    </row>
    <row r="10" spans="2:18" x14ac:dyDescent="0.25">
      <c r="B10" s="5" t="s">
        <v>17</v>
      </c>
      <c r="C10" s="1"/>
      <c r="E10" s="7"/>
      <c r="O10" s="13">
        <f t="shared" si="0"/>
        <v>0</v>
      </c>
      <c r="Q10" s="4" t="s">
        <v>39</v>
      </c>
      <c r="R10" s="10">
        <f>SUM(M17)</f>
        <v>0</v>
      </c>
    </row>
    <row r="11" spans="2:18" x14ac:dyDescent="0.25">
      <c r="B11" s="5" t="s">
        <v>18</v>
      </c>
      <c r="C11" s="1"/>
      <c r="E11" s="7"/>
      <c r="O11" s="13">
        <f t="shared" si="0"/>
        <v>0</v>
      </c>
    </row>
    <row r="12" spans="2:18" x14ac:dyDescent="0.25">
      <c r="B12" s="5" t="s">
        <v>19</v>
      </c>
      <c r="C12" s="1"/>
      <c r="E12" s="7"/>
      <c r="O12" s="13">
        <f t="shared" si="0"/>
        <v>0</v>
      </c>
    </row>
    <row r="13" spans="2:18" x14ac:dyDescent="0.25">
      <c r="B13" s="5" t="s">
        <v>20</v>
      </c>
      <c r="C13" s="1"/>
      <c r="E13" s="7"/>
      <c r="O13" s="13">
        <f t="shared" si="0"/>
        <v>0</v>
      </c>
    </row>
    <row r="14" spans="2:18" x14ac:dyDescent="0.25">
      <c r="B14" s="5" t="s">
        <v>21</v>
      </c>
      <c r="C14" s="1"/>
      <c r="E14" s="7"/>
      <c r="O14" s="13">
        <f t="shared" si="0"/>
        <v>0</v>
      </c>
    </row>
    <row r="15" spans="2:18" x14ac:dyDescent="0.25">
      <c r="B15" s="5" t="s">
        <v>22</v>
      </c>
      <c r="C15" s="1"/>
      <c r="E15" s="7"/>
      <c r="O15" s="13">
        <f t="shared" si="0"/>
        <v>0</v>
      </c>
    </row>
    <row r="16" spans="2:18" x14ac:dyDescent="0.25">
      <c r="B16" s="6" t="s">
        <v>23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6</v>
      </c>
      <c r="F17" s="11">
        <f t="shared" si="1"/>
        <v>9</v>
      </c>
      <c r="G17" s="11">
        <f t="shared" si="1"/>
        <v>3</v>
      </c>
      <c r="H17" s="11">
        <f t="shared" si="1"/>
        <v>0</v>
      </c>
      <c r="I17" s="11">
        <f t="shared" si="1"/>
        <v>8</v>
      </c>
      <c r="J17" s="11">
        <f t="shared" si="1"/>
        <v>0</v>
      </c>
      <c r="K17" s="11">
        <f t="shared" si="1"/>
        <v>1</v>
      </c>
      <c r="L17" s="11">
        <f t="shared" si="1"/>
        <v>9</v>
      </c>
      <c r="M17" s="11">
        <f t="shared" si="1"/>
        <v>0</v>
      </c>
      <c r="N17" s="11">
        <f t="shared" si="1"/>
        <v>0</v>
      </c>
      <c r="O17" s="12"/>
    </row>
    <row r="19" spans="2:15" x14ac:dyDescent="0.25">
      <c r="B19" t="s">
        <v>24</v>
      </c>
    </row>
    <row r="20" spans="2:15" x14ac:dyDescent="0.25">
      <c r="B20" t="s">
        <v>25</v>
      </c>
    </row>
    <row r="21" spans="2:15" x14ac:dyDescent="0.25">
      <c r="B2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1FAE-E10A-49B0-9459-DEB3D3947B05}">
  <dimension ref="B2:R17"/>
  <sheetViews>
    <sheetView workbookViewId="0">
      <selection activeCell="D25" sqref="D25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45976</v>
      </c>
    </row>
    <row r="3" spans="2:18" x14ac:dyDescent="0.25">
      <c r="B3" s="5" t="s">
        <v>21</v>
      </c>
      <c r="C3" s="1"/>
      <c r="E3" s="7"/>
      <c r="O3" s="13">
        <f>SUM(F3:N3)</f>
        <v>0</v>
      </c>
      <c r="Q3" s="4" t="s">
        <v>28</v>
      </c>
      <c r="R3" s="17">
        <v>63</v>
      </c>
    </row>
    <row r="4" spans="2:18" x14ac:dyDescent="0.25">
      <c r="B4" s="5" t="s">
        <v>22</v>
      </c>
      <c r="C4" s="1"/>
      <c r="E4" s="7"/>
      <c r="O4" s="13">
        <f t="shared" ref="O4:O16" si="0">SUM(F4:N4)</f>
        <v>0</v>
      </c>
      <c r="Q4" s="4" t="s">
        <v>29</v>
      </c>
      <c r="R4" s="17">
        <v>46</v>
      </c>
    </row>
    <row r="5" spans="2:18" x14ac:dyDescent="0.25">
      <c r="B5" s="5" t="s">
        <v>23</v>
      </c>
      <c r="C5" s="1"/>
      <c r="D5" s="9">
        <v>7</v>
      </c>
      <c r="E5" s="7">
        <v>2</v>
      </c>
      <c r="F5" s="9">
        <v>14</v>
      </c>
      <c r="O5" s="13">
        <f t="shared" si="0"/>
        <v>14</v>
      </c>
      <c r="Q5" s="4" t="s">
        <v>30</v>
      </c>
      <c r="R5" s="17" t="s">
        <v>58</v>
      </c>
    </row>
    <row r="6" spans="2:18" x14ac:dyDescent="0.25">
      <c r="B6" s="5" t="s">
        <v>24</v>
      </c>
      <c r="C6" s="1"/>
      <c r="D6" s="9">
        <v>41</v>
      </c>
      <c r="E6" s="7">
        <v>4</v>
      </c>
      <c r="F6" s="9">
        <v>3</v>
      </c>
      <c r="G6" s="9">
        <v>1</v>
      </c>
      <c r="H6" s="9">
        <v>1</v>
      </c>
      <c r="L6" s="9">
        <v>3</v>
      </c>
      <c r="M6" s="9">
        <v>2</v>
      </c>
      <c r="O6" s="13">
        <f t="shared" si="0"/>
        <v>10</v>
      </c>
      <c r="Q6" s="4" t="s">
        <v>31</v>
      </c>
      <c r="R6" s="17" t="s">
        <v>36</v>
      </c>
    </row>
    <row r="7" spans="2:18" x14ac:dyDescent="0.25">
      <c r="B7" s="5" t="s">
        <v>25</v>
      </c>
      <c r="C7" s="1"/>
      <c r="D7" s="9">
        <v>18</v>
      </c>
      <c r="E7" s="7">
        <v>3</v>
      </c>
      <c r="F7" s="9">
        <v>2</v>
      </c>
      <c r="J7" s="9">
        <v>1</v>
      </c>
      <c r="K7" s="9">
        <v>2</v>
      </c>
      <c r="L7" s="9">
        <v>9</v>
      </c>
      <c r="O7" s="13">
        <f t="shared" si="0"/>
        <v>14</v>
      </c>
      <c r="R7" s="9"/>
    </row>
    <row r="8" spans="2:18" x14ac:dyDescent="0.25">
      <c r="B8" s="5" t="s">
        <v>26</v>
      </c>
      <c r="C8" s="1"/>
      <c r="D8" s="9">
        <v>42</v>
      </c>
      <c r="E8" s="7">
        <v>2</v>
      </c>
      <c r="F8" s="9">
        <v>5</v>
      </c>
      <c r="L8" s="9">
        <v>2</v>
      </c>
      <c r="O8" s="13">
        <f t="shared" si="0"/>
        <v>7</v>
      </c>
      <c r="Q8" s="4" t="s">
        <v>40</v>
      </c>
      <c r="R8" s="10">
        <f>SUM(F17:L17)</f>
        <v>45</v>
      </c>
    </row>
    <row r="9" spans="2:18" x14ac:dyDescent="0.25">
      <c r="B9" s="5" t="s">
        <v>13</v>
      </c>
      <c r="C9" s="1"/>
      <c r="E9" s="7"/>
      <c r="O9" s="13">
        <f t="shared" si="0"/>
        <v>0</v>
      </c>
      <c r="Q9" s="4" t="s">
        <v>38</v>
      </c>
      <c r="R9" s="10">
        <f>SUM(F17:G17)</f>
        <v>27</v>
      </c>
    </row>
    <row r="10" spans="2:18" x14ac:dyDescent="0.25">
      <c r="B10" s="5" t="s">
        <v>14</v>
      </c>
      <c r="C10" s="1"/>
      <c r="E10" s="7"/>
      <c r="O10" s="13">
        <f t="shared" si="0"/>
        <v>0</v>
      </c>
      <c r="Q10" s="4" t="s">
        <v>39</v>
      </c>
      <c r="R10" s="10">
        <f>SUM(M17)</f>
        <v>2</v>
      </c>
    </row>
    <row r="11" spans="2:18" x14ac:dyDescent="0.25">
      <c r="B11" s="5" t="s">
        <v>15</v>
      </c>
      <c r="C11" s="1"/>
      <c r="E11" s="7"/>
      <c r="O11" s="13">
        <f t="shared" si="0"/>
        <v>0</v>
      </c>
    </row>
    <row r="12" spans="2:18" x14ac:dyDescent="0.25">
      <c r="B12" s="5" t="s">
        <v>16</v>
      </c>
      <c r="C12" s="1"/>
      <c r="E12" s="7"/>
      <c r="O12" s="13">
        <f t="shared" si="0"/>
        <v>0</v>
      </c>
    </row>
    <row r="13" spans="2:18" x14ac:dyDescent="0.25">
      <c r="B13" s="5" t="s">
        <v>17</v>
      </c>
      <c r="C13" s="1"/>
      <c r="E13" s="7"/>
      <c r="O13" s="13">
        <f t="shared" si="0"/>
        <v>0</v>
      </c>
    </row>
    <row r="14" spans="2:18" x14ac:dyDescent="0.25">
      <c r="B14" s="5" t="s">
        <v>18</v>
      </c>
      <c r="C14" s="1"/>
      <c r="E14" s="7"/>
      <c r="O14" s="13">
        <f t="shared" si="0"/>
        <v>0</v>
      </c>
    </row>
    <row r="15" spans="2:18" x14ac:dyDescent="0.25">
      <c r="B15" s="5" t="s">
        <v>19</v>
      </c>
      <c r="C15" s="1"/>
      <c r="D15" s="9">
        <v>4</v>
      </c>
      <c r="E15" s="7">
        <v>1</v>
      </c>
      <c r="F15" s="9">
        <v>2</v>
      </c>
      <c r="O15" s="13">
        <f t="shared" si="0"/>
        <v>2</v>
      </c>
    </row>
    <row r="16" spans="2:18" x14ac:dyDescent="0.25">
      <c r="B16" s="6" t="s">
        <v>20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12</v>
      </c>
      <c r="F17" s="11">
        <f t="shared" si="1"/>
        <v>26</v>
      </c>
      <c r="G17" s="11">
        <f t="shared" si="1"/>
        <v>1</v>
      </c>
      <c r="H17" s="11">
        <f t="shared" si="1"/>
        <v>1</v>
      </c>
      <c r="I17" s="11">
        <f t="shared" si="1"/>
        <v>0</v>
      </c>
      <c r="J17" s="11">
        <f t="shared" si="1"/>
        <v>1</v>
      </c>
      <c r="K17" s="11">
        <f t="shared" si="1"/>
        <v>2</v>
      </c>
      <c r="L17" s="11">
        <f t="shared" si="1"/>
        <v>14</v>
      </c>
      <c r="M17" s="11">
        <f t="shared" si="1"/>
        <v>2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4C4D-3A8E-42E8-B85D-CEE219656498}">
  <dimension ref="B2:R17"/>
  <sheetViews>
    <sheetView workbookViewId="0">
      <selection activeCell="L9" sqref="L9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24.140625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45973</v>
      </c>
    </row>
    <row r="3" spans="2:18" x14ac:dyDescent="0.25">
      <c r="B3" s="5" t="s">
        <v>18</v>
      </c>
      <c r="C3" s="1"/>
      <c r="D3" s="9">
        <v>42</v>
      </c>
      <c r="E3" s="7">
        <v>1</v>
      </c>
      <c r="O3" s="13">
        <f>SUM(F3:N3)</f>
        <v>0</v>
      </c>
      <c r="Q3" s="4" t="s">
        <v>28</v>
      </c>
      <c r="R3" s="17">
        <v>63</v>
      </c>
    </row>
    <row r="4" spans="2:18" x14ac:dyDescent="0.25">
      <c r="B4" s="5" t="s">
        <v>19</v>
      </c>
      <c r="C4" s="1"/>
      <c r="D4" s="9">
        <v>40</v>
      </c>
      <c r="E4" s="7">
        <v>1</v>
      </c>
      <c r="F4" s="9">
        <v>1</v>
      </c>
      <c r="O4" s="13">
        <f t="shared" ref="O4:O16" si="0">SUM(F4:N4)</f>
        <v>1</v>
      </c>
      <c r="Q4" s="4" t="s">
        <v>29</v>
      </c>
      <c r="R4" s="17">
        <v>48</v>
      </c>
    </row>
    <row r="5" spans="2:18" x14ac:dyDescent="0.25">
      <c r="B5" s="5" t="s">
        <v>20</v>
      </c>
      <c r="C5" s="1"/>
      <c r="E5" s="7"/>
      <c r="O5" s="13">
        <f t="shared" si="0"/>
        <v>0</v>
      </c>
      <c r="Q5" s="4" t="s">
        <v>30</v>
      </c>
      <c r="R5" s="17" t="s">
        <v>56</v>
      </c>
    </row>
    <row r="6" spans="2:18" x14ac:dyDescent="0.25">
      <c r="B6" s="5" t="s">
        <v>21</v>
      </c>
      <c r="C6" s="1"/>
      <c r="E6" s="7"/>
      <c r="O6" s="13">
        <f t="shared" si="0"/>
        <v>0</v>
      </c>
      <c r="Q6" s="4" t="s">
        <v>31</v>
      </c>
      <c r="R6" s="17" t="s">
        <v>57</v>
      </c>
    </row>
    <row r="7" spans="2:18" x14ac:dyDescent="0.25">
      <c r="B7" s="5" t="s">
        <v>22</v>
      </c>
      <c r="C7" s="1"/>
      <c r="E7" s="7"/>
      <c r="O7" s="13">
        <f t="shared" si="0"/>
        <v>0</v>
      </c>
      <c r="R7" s="9"/>
    </row>
    <row r="8" spans="2:18" x14ac:dyDescent="0.25">
      <c r="B8" s="5" t="s">
        <v>23</v>
      </c>
      <c r="C8" s="1"/>
      <c r="D8" s="9">
        <v>26</v>
      </c>
      <c r="E8" s="7">
        <v>1</v>
      </c>
      <c r="F8" s="9">
        <v>2</v>
      </c>
      <c r="L8" s="9">
        <v>1</v>
      </c>
      <c r="O8" s="13">
        <f t="shared" si="0"/>
        <v>3</v>
      </c>
      <c r="Q8" s="4" t="s">
        <v>40</v>
      </c>
      <c r="R8" s="10">
        <f>SUM(F17:L17)</f>
        <v>4</v>
      </c>
    </row>
    <row r="9" spans="2:18" x14ac:dyDescent="0.25">
      <c r="B9" s="5" t="s">
        <v>24</v>
      </c>
      <c r="C9" s="1"/>
      <c r="E9" s="7"/>
      <c r="O9" s="13">
        <f t="shared" si="0"/>
        <v>0</v>
      </c>
      <c r="Q9" s="4" t="s">
        <v>38</v>
      </c>
      <c r="R9" s="10">
        <f>SUM(F17:G17)</f>
        <v>3</v>
      </c>
    </row>
    <row r="10" spans="2:18" x14ac:dyDescent="0.25">
      <c r="B10" s="5" t="s">
        <v>25</v>
      </c>
      <c r="C10" s="1"/>
      <c r="E10" s="7"/>
      <c r="O10" s="13">
        <f t="shared" si="0"/>
        <v>0</v>
      </c>
      <c r="Q10" s="4" t="s">
        <v>39</v>
      </c>
      <c r="R10" s="10">
        <f>SUM(M17)</f>
        <v>0</v>
      </c>
    </row>
    <row r="11" spans="2:18" x14ac:dyDescent="0.25">
      <c r="B11" s="5" t="s">
        <v>26</v>
      </c>
      <c r="C11" s="1"/>
      <c r="E11" s="7"/>
      <c r="O11" s="13">
        <f t="shared" si="0"/>
        <v>0</v>
      </c>
    </row>
    <row r="12" spans="2:18" x14ac:dyDescent="0.25">
      <c r="B12" s="5" t="s">
        <v>13</v>
      </c>
      <c r="C12" s="1"/>
      <c r="E12" s="7"/>
      <c r="O12" s="13">
        <f t="shared" si="0"/>
        <v>0</v>
      </c>
    </row>
    <row r="13" spans="2:18" x14ac:dyDescent="0.25">
      <c r="B13" s="5" t="s">
        <v>14</v>
      </c>
      <c r="C13" s="1"/>
      <c r="E13" s="7"/>
      <c r="O13" s="13">
        <f t="shared" si="0"/>
        <v>0</v>
      </c>
    </row>
    <row r="14" spans="2:18" x14ac:dyDescent="0.25">
      <c r="B14" s="5" t="s">
        <v>15</v>
      </c>
      <c r="C14" s="1"/>
      <c r="E14" s="7"/>
      <c r="O14" s="13">
        <f t="shared" si="0"/>
        <v>0</v>
      </c>
    </row>
    <row r="15" spans="2:18" x14ac:dyDescent="0.25">
      <c r="B15" s="5" t="s">
        <v>16</v>
      </c>
      <c r="C15" s="1"/>
      <c r="E15" s="7"/>
      <c r="O15" s="13">
        <f t="shared" si="0"/>
        <v>0</v>
      </c>
    </row>
    <row r="16" spans="2:18" x14ac:dyDescent="0.25">
      <c r="B16" s="6" t="s">
        <v>17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3</v>
      </c>
      <c r="F17" s="11">
        <f t="shared" si="1"/>
        <v>3</v>
      </c>
      <c r="G17" s="11">
        <f t="shared" si="1"/>
        <v>0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11">
        <f t="shared" si="1"/>
        <v>1</v>
      </c>
      <c r="M17" s="11">
        <f t="shared" si="1"/>
        <v>0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12EE-1808-4D81-9182-A53CAFA0C601}">
  <dimension ref="B2:R18"/>
  <sheetViews>
    <sheetView workbookViewId="0">
      <selection activeCell="C19" sqref="C19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45970</v>
      </c>
    </row>
    <row r="3" spans="2:18" x14ac:dyDescent="0.25">
      <c r="B3" s="5" t="s">
        <v>15</v>
      </c>
      <c r="C3" s="1"/>
      <c r="E3" s="7"/>
      <c r="O3" s="13">
        <f>SUM(F3:N3)</f>
        <v>0</v>
      </c>
      <c r="Q3" s="4" t="s">
        <v>28</v>
      </c>
      <c r="R3" s="17">
        <v>76</v>
      </c>
    </row>
    <row r="4" spans="2:18" x14ac:dyDescent="0.25">
      <c r="B4" s="5" t="s">
        <v>16</v>
      </c>
      <c r="C4" s="1"/>
      <c r="E4" s="7"/>
      <c r="O4" s="13">
        <f t="shared" ref="O4:O17" si="0">SUM(F4:N4)</f>
        <v>0</v>
      </c>
      <c r="Q4" s="4" t="s">
        <v>29</v>
      </c>
      <c r="R4" s="17">
        <v>51</v>
      </c>
    </row>
    <row r="5" spans="2:18" x14ac:dyDescent="0.25">
      <c r="B5" s="5" t="s">
        <v>17</v>
      </c>
      <c r="C5" s="1"/>
      <c r="E5" s="7"/>
      <c r="O5" s="13">
        <f t="shared" si="0"/>
        <v>0</v>
      </c>
      <c r="Q5" s="4" t="s">
        <v>30</v>
      </c>
      <c r="R5" s="17" t="s">
        <v>43</v>
      </c>
    </row>
    <row r="6" spans="2:18" x14ac:dyDescent="0.25">
      <c r="B6" s="5" t="s">
        <v>18</v>
      </c>
      <c r="C6" s="1"/>
      <c r="E6" s="7"/>
      <c r="O6" s="13">
        <f t="shared" si="0"/>
        <v>0</v>
      </c>
      <c r="Q6" s="4" t="s">
        <v>31</v>
      </c>
      <c r="R6" s="17" t="s">
        <v>36</v>
      </c>
    </row>
    <row r="7" spans="2:18" x14ac:dyDescent="0.25">
      <c r="B7" s="5" t="s">
        <v>19</v>
      </c>
      <c r="C7" s="1"/>
      <c r="D7" s="9">
        <v>25</v>
      </c>
      <c r="E7" s="7">
        <v>2</v>
      </c>
      <c r="F7" s="9">
        <v>6</v>
      </c>
      <c r="H7" s="9">
        <v>1</v>
      </c>
      <c r="O7" s="13">
        <f t="shared" si="0"/>
        <v>7</v>
      </c>
      <c r="R7" s="9"/>
    </row>
    <row r="8" spans="2:18" x14ac:dyDescent="0.25">
      <c r="B8" s="5" t="s">
        <v>20</v>
      </c>
      <c r="C8" s="1"/>
      <c r="E8" s="7"/>
      <c r="O8" s="13">
        <f t="shared" si="0"/>
        <v>0</v>
      </c>
      <c r="Q8" s="4" t="s">
        <v>40</v>
      </c>
      <c r="R8" s="10">
        <f>SUM(F18:L18)</f>
        <v>16</v>
      </c>
    </row>
    <row r="9" spans="2:18" x14ac:dyDescent="0.25">
      <c r="B9" s="5" t="s">
        <v>21</v>
      </c>
      <c r="C9" s="1"/>
      <c r="E9" s="7"/>
      <c r="O9" s="13">
        <f t="shared" si="0"/>
        <v>0</v>
      </c>
      <c r="Q9" s="4" t="s">
        <v>38</v>
      </c>
      <c r="R9" s="10">
        <f>SUM(F18:G18)</f>
        <v>13</v>
      </c>
    </row>
    <row r="10" spans="2:18" x14ac:dyDescent="0.25">
      <c r="B10" s="5" t="s">
        <v>22</v>
      </c>
      <c r="C10" s="1"/>
      <c r="E10" s="7"/>
      <c r="O10" s="13">
        <f t="shared" si="0"/>
        <v>0</v>
      </c>
      <c r="Q10" s="4" t="s">
        <v>39</v>
      </c>
      <c r="R10" s="10">
        <f>SUM(M18)</f>
        <v>0</v>
      </c>
    </row>
    <row r="11" spans="2:18" x14ac:dyDescent="0.25">
      <c r="B11" s="5" t="s">
        <v>23</v>
      </c>
      <c r="C11" s="1"/>
      <c r="E11" s="7"/>
      <c r="O11" s="13">
        <f t="shared" si="0"/>
        <v>0</v>
      </c>
    </row>
    <row r="12" spans="2:18" x14ac:dyDescent="0.25">
      <c r="B12" s="5" t="s">
        <v>24</v>
      </c>
      <c r="C12" s="1"/>
      <c r="E12" s="7"/>
      <c r="O12" s="13">
        <f t="shared" si="0"/>
        <v>0</v>
      </c>
    </row>
    <row r="13" spans="2:18" x14ac:dyDescent="0.25">
      <c r="B13" s="5" t="s">
        <v>25</v>
      </c>
      <c r="C13" s="1"/>
      <c r="E13" s="7"/>
      <c r="O13" s="13">
        <f t="shared" si="0"/>
        <v>0</v>
      </c>
    </row>
    <row r="14" spans="2:18" x14ac:dyDescent="0.25">
      <c r="B14" s="5" t="s">
        <v>26</v>
      </c>
      <c r="C14" s="1"/>
      <c r="E14" s="7"/>
      <c r="O14" s="13">
        <f t="shared" si="0"/>
        <v>0</v>
      </c>
    </row>
    <row r="15" spans="2:18" x14ac:dyDescent="0.25">
      <c r="B15" s="5" t="s">
        <v>13</v>
      </c>
      <c r="C15" s="1"/>
      <c r="E15" s="7"/>
      <c r="O15" s="13">
        <f t="shared" si="0"/>
        <v>0</v>
      </c>
    </row>
    <row r="16" spans="2:18" x14ac:dyDescent="0.25">
      <c r="B16" s="5" t="s">
        <v>14</v>
      </c>
      <c r="C16" s="1"/>
      <c r="E16" s="7"/>
      <c r="O16" s="13"/>
    </row>
    <row r="17" spans="2:15" x14ac:dyDescent="0.25">
      <c r="B17" s="6" t="s">
        <v>55</v>
      </c>
      <c r="C17" s="2"/>
      <c r="D17" s="14">
        <v>3</v>
      </c>
      <c r="E17" s="8">
        <v>2</v>
      </c>
      <c r="F17" s="14">
        <v>6</v>
      </c>
      <c r="G17" s="14">
        <v>1</v>
      </c>
      <c r="H17" s="14"/>
      <c r="I17" s="14"/>
      <c r="J17" s="14">
        <v>1</v>
      </c>
      <c r="K17" s="14"/>
      <c r="L17" s="14">
        <v>1</v>
      </c>
      <c r="M17" s="14"/>
      <c r="N17" s="14"/>
      <c r="O17" s="13">
        <f t="shared" si="0"/>
        <v>9</v>
      </c>
    </row>
    <row r="18" spans="2:15" x14ac:dyDescent="0.25">
      <c r="B18" s="4" t="s">
        <v>27</v>
      </c>
      <c r="C18" s="3"/>
      <c r="D18" s="11"/>
      <c r="E18" s="15">
        <f t="shared" ref="E18:N18" si="1">SUM(E3:E17)</f>
        <v>4</v>
      </c>
      <c r="F18" s="11">
        <f t="shared" si="1"/>
        <v>12</v>
      </c>
      <c r="G18" s="11">
        <f t="shared" si="1"/>
        <v>1</v>
      </c>
      <c r="H18" s="11">
        <f t="shared" si="1"/>
        <v>1</v>
      </c>
      <c r="I18" s="11">
        <f t="shared" si="1"/>
        <v>0</v>
      </c>
      <c r="J18" s="11">
        <f t="shared" si="1"/>
        <v>1</v>
      </c>
      <c r="K18" s="11">
        <f t="shared" si="1"/>
        <v>0</v>
      </c>
      <c r="L18" s="11">
        <f t="shared" si="1"/>
        <v>1</v>
      </c>
      <c r="M18" s="11">
        <f t="shared" si="1"/>
        <v>0</v>
      </c>
      <c r="N18" s="11">
        <f t="shared" si="1"/>
        <v>0</v>
      </c>
      <c r="O1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B072-BCCF-45C1-B367-C74FA3B590EA}">
  <dimension ref="B2:R18"/>
  <sheetViews>
    <sheetView workbookViewId="0">
      <selection activeCell="M19" sqref="M19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45969</v>
      </c>
    </row>
    <row r="3" spans="2:18" x14ac:dyDescent="0.25">
      <c r="B3" s="5" t="s">
        <v>26</v>
      </c>
      <c r="C3" s="1"/>
      <c r="D3" s="9">
        <v>42</v>
      </c>
      <c r="E3" s="7">
        <v>1</v>
      </c>
      <c r="F3" s="9">
        <v>5</v>
      </c>
      <c r="G3" s="9">
        <v>2</v>
      </c>
      <c r="M3" s="9">
        <v>1</v>
      </c>
      <c r="O3" s="13">
        <f>SUM(F3:N3)</f>
        <v>8</v>
      </c>
      <c r="Q3" s="4" t="s">
        <v>28</v>
      </c>
      <c r="R3" s="17">
        <v>71</v>
      </c>
    </row>
    <row r="4" spans="2:18" x14ac:dyDescent="0.25">
      <c r="B4" s="5" t="s">
        <v>13</v>
      </c>
      <c r="C4" s="1"/>
      <c r="E4" s="7"/>
      <c r="O4" s="13">
        <f t="shared" ref="O4:O16" si="0">SUM(F4:N4)</f>
        <v>0</v>
      </c>
      <c r="Q4" s="4" t="s">
        <v>29</v>
      </c>
      <c r="R4" s="17">
        <v>48</v>
      </c>
    </row>
    <row r="5" spans="2:18" x14ac:dyDescent="0.25">
      <c r="B5" s="5" t="s">
        <v>14</v>
      </c>
      <c r="C5" s="1"/>
      <c r="E5" s="7"/>
      <c r="O5" s="13">
        <f t="shared" si="0"/>
        <v>0</v>
      </c>
      <c r="Q5" s="4" t="s">
        <v>30</v>
      </c>
      <c r="R5" s="17">
        <v>0</v>
      </c>
    </row>
    <row r="6" spans="2:18" x14ac:dyDescent="0.25">
      <c r="B6" s="5" t="s">
        <v>15</v>
      </c>
      <c r="C6" s="1"/>
      <c r="E6" s="7"/>
      <c r="O6" s="13">
        <f t="shared" si="0"/>
        <v>0</v>
      </c>
      <c r="Q6" s="4" t="s">
        <v>31</v>
      </c>
      <c r="R6" s="17" t="s">
        <v>36</v>
      </c>
    </row>
    <row r="7" spans="2:18" x14ac:dyDescent="0.25">
      <c r="B7" s="5" t="s">
        <v>16</v>
      </c>
      <c r="C7" s="1"/>
      <c r="E7" s="7"/>
      <c r="O7" s="13">
        <f t="shared" si="0"/>
        <v>0</v>
      </c>
      <c r="R7" s="9"/>
    </row>
    <row r="8" spans="2:18" x14ac:dyDescent="0.25">
      <c r="B8" s="5" t="s">
        <v>17</v>
      </c>
      <c r="C8" s="1"/>
      <c r="E8" s="7"/>
      <c r="O8" s="13">
        <f t="shared" si="0"/>
        <v>0</v>
      </c>
      <c r="Q8" s="4" t="s">
        <v>40</v>
      </c>
      <c r="R8" s="10">
        <f>SUM(F17:L17)</f>
        <v>19</v>
      </c>
    </row>
    <row r="9" spans="2:18" x14ac:dyDescent="0.25">
      <c r="B9" s="5" t="s">
        <v>18</v>
      </c>
      <c r="C9" s="1"/>
      <c r="E9" s="7"/>
      <c r="O9" s="13">
        <f t="shared" si="0"/>
        <v>0</v>
      </c>
      <c r="Q9" s="4" t="s">
        <v>38</v>
      </c>
      <c r="R9" s="10">
        <f>SUM(F17:G17)</f>
        <v>15</v>
      </c>
    </row>
    <row r="10" spans="2:18" x14ac:dyDescent="0.25">
      <c r="B10" s="5" t="s">
        <v>19</v>
      </c>
      <c r="C10" s="1"/>
      <c r="D10" s="9">
        <v>40</v>
      </c>
      <c r="E10" s="7">
        <v>1</v>
      </c>
      <c r="F10" s="9">
        <v>7</v>
      </c>
      <c r="O10" s="13">
        <f t="shared" si="0"/>
        <v>7</v>
      </c>
      <c r="Q10" s="4" t="s">
        <v>39</v>
      </c>
      <c r="R10" s="10">
        <f>SUM(M17)</f>
        <v>1</v>
      </c>
    </row>
    <row r="11" spans="2:18" x14ac:dyDescent="0.25">
      <c r="B11" s="5" t="s">
        <v>20</v>
      </c>
      <c r="C11" s="1"/>
      <c r="D11" s="9">
        <v>7</v>
      </c>
      <c r="E11" s="7">
        <v>1</v>
      </c>
      <c r="F11" s="9">
        <v>1</v>
      </c>
      <c r="L11" s="9">
        <v>4</v>
      </c>
      <c r="O11" s="13">
        <f t="shared" si="0"/>
        <v>5</v>
      </c>
    </row>
    <row r="12" spans="2:18" x14ac:dyDescent="0.25">
      <c r="B12" s="5" t="s">
        <v>21</v>
      </c>
      <c r="C12" s="1"/>
      <c r="E12" s="7"/>
      <c r="O12" s="13">
        <f t="shared" si="0"/>
        <v>0</v>
      </c>
    </row>
    <row r="13" spans="2:18" x14ac:dyDescent="0.25">
      <c r="B13" s="5" t="s">
        <v>22</v>
      </c>
      <c r="C13" s="1"/>
      <c r="E13" s="7"/>
      <c r="O13" s="13">
        <f t="shared" si="0"/>
        <v>0</v>
      </c>
    </row>
    <row r="14" spans="2:18" x14ac:dyDescent="0.25">
      <c r="B14" s="5" t="s">
        <v>23</v>
      </c>
      <c r="C14" s="1"/>
      <c r="E14" s="7"/>
      <c r="O14" s="13">
        <f t="shared" si="0"/>
        <v>0</v>
      </c>
    </row>
    <row r="15" spans="2:18" x14ac:dyDescent="0.25">
      <c r="B15" s="5" t="s">
        <v>24</v>
      </c>
      <c r="C15" s="1"/>
      <c r="E15" s="7"/>
      <c r="O15" s="13">
        <f t="shared" si="0"/>
        <v>0</v>
      </c>
    </row>
    <row r="16" spans="2:18" x14ac:dyDescent="0.25">
      <c r="B16" s="6" t="s">
        <v>25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3</v>
      </c>
      <c r="F17" s="11">
        <f t="shared" si="1"/>
        <v>13</v>
      </c>
      <c r="G17" s="11">
        <f t="shared" si="1"/>
        <v>2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11">
        <f t="shared" si="1"/>
        <v>4</v>
      </c>
      <c r="M17" s="11">
        <f t="shared" si="1"/>
        <v>1</v>
      </c>
      <c r="N17" s="11">
        <f t="shared" si="1"/>
        <v>0</v>
      </c>
      <c r="O17" s="12"/>
    </row>
    <row r="18" spans="2:15" x14ac:dyDescent="0.25">
      <c r="B18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3574-73DD-4615-A28D-599866F62919}">
  <dimension ref="B2:R17"/>
  <sheetViews>
    <sheetView workbookViewId="0">
      <selection activeCell="R7" sqref="R7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45966</v>
      </c>
    </row>
    <row r="3" spans="2:18" x14ac:dyDescent="0.25">
      <c r="B3" s="5" t="s">
        <v>23</v>
      </c>
      <c r="C3" s="1"/>
      <c r="D3" s="9">
        <v>7</v>
      </c>
      <c r="E3" s="7">
        <v>3</v>
      </c>
      <c r="F3" s="9">
        <v>6</v>
      </c>
      <c r="G3" s="9">
        <v>2</v>
      </c>
      <c r="H3" s="9">
        <v>2</v>
      </c>
      <c r="L3" s="9">
        <v>1</v>
      </c>
      <c r="M3" s="9">
        <v>1</v>
      </c>
      <c r="O3" s="13">
        <f>SUM(F3:N3)</f>
        <v>12</v>
      </c>
      <c r="Q3" s="4" t="s">
        <v>28</v>
      </c>
      <c r="R3" s="17">
        <v>56</v>
      </c>
    </row>
    <row r="4" spans="2:18" x14ac:dyDescent="0.25">
      <c r="B4" s="5" t="s">
        <v>24</v>
      </c>
      <c r="C4" s="1"/>
      <c r="E4" s="7"/>
      <c r="O4" s="13">
        <f t="shared" ref="O4:O16" si="0">SUM(F4:N4)</f>
        <v>0</v>
      </c>
      <c r="Q4" s="4" t="s">
        <v>29</v>
      </c>
      <c r="R4" s="17">
        <v>41</v>
      </c>
    </row>
    <row r="5" spans="2:18" x14ac:dyDescent="0.25">
      <c r="B5" s="5" t="s">
        <v>25</v>
      </c>
      <c r="C5" s="1" t="s">
        <v>37</v>
      </c>
      <c r="D5" s="9">
        <v>40</v>
      </c>
      <c r="E5" s="7">
        <v>3</v>
      </c>
      <c r="F5" s="9">
        <v>10</v>
      </c>
      <c r="M5" s="9">
        <v>1</v>
      </c>
      <c r="O5" s="13">
        <f t="shared" si="0"/>
        <v>11</v>
      </c>
      <c r="Q5" s="4" t="s">
        <v>30</v>
      </c>
      <c r="R5" s="17" t="s">
        <v>53</v>
      </c>
    </row>
    <row r="6" spans="2:18" x14ac:dyDescent="0.25">
      <c r="B6" s="5" t="s">
        <v>26</v>
      </c>
      <c r="C6" s="1"/>
      <c r="E6" s="7"/>
      <c r="O6" s="13">
        <f t="shared" si="0"/>
        <v>0</v>
      </c>
      <c r="Q6" s="4" t="s">
        <v>31</v>
      </c>
      <c r="R6" s="17" t="s">
        <v>54</v>
      </c>
    </row>
    <row r="7" spans="2:18" x14ac:dyDescent="0.25">
      <c r="B7" s="5" t="s">
        <v>13</v>
      </c>
      <c r="C7" s="1"/>
      <c r="E7" s="7"/>
      <c r="O7" s="13">
        <f t="shared" si="0"/>
        <v>0</v>
      </c>
      <c r="R7" s="9"/>
    </row>
    <row r="8" spans="2:18" x14ac:dyDescent="0.25">
      <c r="B8" s="5" t="s">
        <v>14</v>
      </c>
      <c r="C8" s="1"/>
      <c r="D8" s="9">
        <v>46</v>
      </c>
      <c r="E8" s="7">
        <v>2</v>
      </c>
      <c r="F8" s="9">
        <v>5</v>
      </c>
      <c r="M8" s="9">
        <v>1</v>
      </c>
      <c r="O8" s="13">
        <f t="shared" si="0"/>
        <v>6</v>
      </c>
      <c r="Q8" s="4" t="s">
        <v>40</v>
      </c>
      <c r="R8" s="10">
        <f>SUM(F17:L17)</f>
        <v>41</v>
      </c>
    </row>
    <row r="9" spans="2:18" x14ac:dyDescent="0.25">
      <c r="B9" s="5" t="s">
        <v>15</v>
      </c>
      <c r="C9" s="1"/>
      <c r="D9" s="9">
        <v>27</v>
      </c>
      <c r="E9" s="7">
        <v>2</v>
      </c>
      <c r="F9" s="9">
        <v>3</v>
      </c>
      <c r="L9" s="9">
        <v>2</v>
      </c>
      <c r="O9" s="13">
        <f t="shared" si="0"/>
        <v>5</v>
      </c>
      <c r="Q9" s="4" t="s">
        <v>38</v>
      </c>
      <c r="R9" s="10">
        <f>SUM(F17:G17)</f>
        <v>29</v>
      </c>
    </row>
    <row r="10" spans="2:18" x14ac:dyDescent="0.25">
      <c r="B10" s="5" t="s">
        <v>16</v>
      </c>
      <c r="C10" s="1"/>
      <c r="E10" s="7"/>
      <c r="O10" s="13">
        <f t="shared" si="0"/>
        <v>0</v>
      </c>
      <c r="Q10" s="4" t="s">
        <v>39</v>
      </c>
      <c r="R10" s="10">
        <f>SUM(M17)</f>
        <v>3</v>
      </c>
    </row>
    <row r="11" spans="2:18" x14ac:dyDescent="0.25">
      <c r="B11" s="5" t="s">
        <v>17</v>
      </c>
      <c r="C11" s="1"/>
      <c r="D11" s="9">
        <v>18</v>
      </c>
      <c r="E11" s="7">
        <v>2</v>
      </c>
      <c r="F11" s="9">
        <v>3</v>
      </c>
      <c r="I11" s="9">
        <v>1</v>
      </c>
      <c r="L11" s="9">
        <v>6</v>
      </c>
      <c r="O11" s="13">
        <f t="shared" si="0"/>
        <v>10</v>
      </c>
    </row>
    <row r="12" spans="2:18" x14ac:dyDescent="0.25">
      <c r="B12" s="5" t="s">
        <v>18</v>
      </c>
      <c r="C12" s="1"/>
      <c r="E12" s="7"/>
      <c r="O12" s="13">
        <f t="shared" si="0"/>
        <v>0</v>
      </c>
    </row>
    <row r="13" spans="2:18" x14ac:dyDescent="0.25">
      <c r="B13" s="5" t="s">
        <v>19</v>
      </c>
      <c r="C13" s="1"/>
      <c r="E13" s="7"/>
      <c r="O13" s="13">
        <f t="shared" si="0"/>
        <v>0</v>
      </c>
    </row>
    <row r="14" spans="2:18" x14ac:dyDescent="0.25">
      <c r="B14" s="5" t="s">
        <v>20</v>
      </c>
      <c r="C14" s="1"/>
      <c r="E14" s="7"/>
      <c r="O14" s="13">
        <f t="shared" si="0"/>
        <v>0</v>
      </c>
    </row>
    <row r="15" spans="2:18" x14ac:dyDescent="0.25">
      <c r="B15" s="5" t="s">
        <v>21</v>
      </c>
      <c r="C15" s="1"/>
      <c r="E15" s="7"/>
      <c r="O15" s="13">
        <f t="shared" si="0"/>
        <v>0</v>
      </c>
    </row>
    <row r="16" spans="2:18" x14ac:dyDescent="0.25">
      <c r="B16" s="6" t="s">
        <v>22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12</v>
      </c>
      <c r="F17" s="11">
        <f t="shared" si="1"/>
        <v>27</v>
      </c>
      <c r="G17" s="11">
        <f t="shared" si="1"/>
        <v>2</v>
      </c>
      <c r="H17" s="11">
        <f t="shared" si="1"/>
        <v>2</v>
      </c>
      <c r="I17" s="11">
        <f t="shared" si="1"/>
        <v>1</v>
      </c>
      <c r="J17" s="11">
        <f t="shared" si="1"/>
        <v>0</v>
      </c>
      <c r="K17" s="11">
        <f t="shared" si="1"/>
        <v>0</v>
      </c>
      <c r="L17" s="11">
        <f t="shared" si="1"/>
        <v>9</v>
      </c>
      <c r="M17" s="11">
        <f t="shared" si="1"/>
        <v>3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3552-07C9-4ED5-B498-126CAAA60F55}">
  <dimension ref="B2:R17"/>
  <sheetViews>
    <sheetView workbookViewId="0">
      <selection activeCell="R7" sqref="R7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45963</v>
      </c>
    </row>
    <row r="3" spans="2:18" x14ac:dyDescent="0.25">
      <c r="B3" s="5" t="s">
        <v>20</v>
      </c>
      <c r="C3" s="1"/>
      <c r="E3" s="7"/>
      <c r="O3" s="13">
        <f>SUM(F3:N3)</f>
        <v>0</v>
      </c>
      <c r="Q3" s="4" t="s">
        <v>28</v>
      </c>
      <c r="R3" s="17">
        <v>78</v>
      </c>
    </row>
    <row r="4" spans="2:18" x14ac:dyDescent="0.25">
      <c r="B4" s="5" t="s">
        <v>21</v>
      </c>
      <c r="C4" s="1"/>
      <c r="E4" s="7"/>
      <c r="O4" s="13">
        <f t="shared" ref="O4:O16" si="0">SUM(F4:N4)</f>
        <v>0</v>
      </c>
      <c r="Q4" s="4" t="s">
        <v>29</v>
      </c>
      <c r="R4" s="17">
        <v>50</v>
      </c>
    </row>
    <row r="5" spans="2:18" x14ac:dyDescent="0.25">
      <c r="B5" s="5" t="s">
        <v>22</v>
      </c>
      <c r="C5" s="1"/>
      <c r="E5" s="7"/>
      <c r="O5" s="13">
        <f t="shared" si="0"/>
        <v>0</v>
      </c>
      <c r="Q5" s="4" t="s">
        <v>30</v>
      </c>
      <c r="R5" s="17">
        <v>0</v>
      </c>
    </row>
    <row r="6" spans="2:18" x14ac:dyDescent="0.25">
      <c r="B6" s="5" t="s">
        <v>23</v>
      </c>
      <c r="C6" s="1"/>
      <c r="E6" s="7"/>
      <c r="O6" s="13">
        <f t="shared" si="0"/>
        <v>0</v>
      </c>
      <c r="Q6" s="4" t="s">
        <v>31</v>
      </c>
      <c r="R6" s="17" t="s">
        <v>36</v>
      </c>
    </row>
    <row r="7" spans="2:18" x14ac:dyDescent="0.25">
      <c r="B7" s="5" t="s">
        <v>24</v>
      </c>
      <c r="C7" s="1"/>
      <c r="E7" s="7"/>
      <c r="O7" s="13">
        <f t="shared" si="0"/>
        <v>0</v>
      </c>
      <c r="R7" s="9"/>
    </row>
    <row r="8" spans="2:18" x14ac:dyDescent="0.25">
      <c r="B8" s="5" t="s">
        <v>25</v>
      </c>
      <c r="C8" s="1"/>
      <c r="E8" s="7"/>
      <c r="O8" s="13">
        <f t="shared" si="0"/>
        <v>0</v>
      </c>
      <c r="Q8" s="4" t="s">
        <v>40</v>
      </c>
      <c r="R8" s="10">
        <f>SUM(F17:L17)</f>
        <v>10</v>
      </c>
    </row>
    <row r="9" spans="2:18" x14ac:dyDescent="0.25">
      <c r="B9" s="5" t="s">
        <v>26</v>
      </c>
      <c r="C9" s="1"/>
      <c r="E9" s="7"/>
      <c r="O9" s="13">
        <f t="shared" si="0"/>
        <v>0</v>
      </c>
      <c r="Q9" s="4" t="s">
        <v>38</v>
      </c>
      <c r="R9" s="10">
        <f>SUM(F17:G17)</f>
        <v>1</v>
      </c>
    </row>
    <row r="10" spans="2:18" x14ac:dyDescent="0.25">
      <c r="B10" s="5" t="s">
        <v>13</v>
      </c>
      <c r="C10" s="1"/>
      <c r="E10" s="7"/>
      <c r="O10" s="13">
        <f t="shared" si="0"/>
        <v>0</v>
      </c>
      <c r="Q10" s="4" t="s">
        <v>39</v>
      </c>
      <c r="R10" s="10">
        <f>SUM(M17)</f>
        <v>0</v>
      </c>
    </row>
    <row r="11" spans="2:18" x14ac:dyDescent="0.25">
      <c r="B11" s="5" t="s">
        <v>14</v>
      </c>
      <c r="C11" s="1"/>
      <c r="E11" s="7"/>
      <c r="O11" s="13">
        <f t="shared" si="0"/>
        <v>0</v>
      </c>
    </row>
    <row r="12" spans="2:18" x14ac:dyDescent="0.25">
      <c r="B12" s="5" t="s">
        <v>15</v>
      </c>
      <c r="C12" s="1"/>
      <c r="D12" s="9">
        <v>12</v>
      </c>
      <c r="E12" s="7">
        <v>2</v>
      </c>
      <c r="F12" s="9">
        <v>1</v>
      </c>
      <c r="L12" s="9">
        <v>9</v>
      </c>
      <c r="O12" s="13">
        <f t="shared" si="0"/>
        <v>10</v>
      </c>
    </row>
    <row r="13" spans="2:18" x14ac:dyDescent="0.25">
      <c r="B13" s="5" t="s">
        <v>16</v>
      </c>
      <c r="C13" s="1"/>
      <c r="E13" s="7"/>
      <c r="O13" s="13">
        <f t="shared" si="0"/>
        <v>0</v>
      </c>
    </row>
    <row r="14" spans="2:18" x14ac:dyDescent="0.25">
      <c r="B14" s="5" t="s">
        <v>17</v>
      </c>
      <c r="C14" s="1"/>
      <c r="E14" s="7"/>
      <c r="O14" s="13">
        <f t="shared" si="0"/>
        <v>0</v>
      </c>
    </row>
    <row r="15" spans="2:18" x14ac:dyDescent="0.25">
      <c r="B15" s="5" t="s">
        <v>18</v>
      </c>
      <c r="C15" s="1"/>
      <c r="E15" s="7"/>
      <c r="O15" s="13">
        <f t="shared" si="0"/>
        <v>0</v>
      </c>
    </row>
    <row r="16" spans="2:18" x14ac:dyDescent="0.25">
      <c r="B16" s="6" t="s">
        <v>19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2</v>
      </c>
      <c r="F17" s="11">
        <f t="shared" si="1"/>
        <v>1</v>
      </c>
      <c r="G17" s="11">
        <f t="shared" si="1"/>
        <v>0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11">
        <f t="shared" si="1"/>
        <v>9</v>
      </c>
      <c r="M17" s="11">
        <f t="shared" si="1"/>
        <v>0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9CE9-F3CF-44FF-970A-67C2F787620D}">
  <dimension ref="B2:R17"/>
  <sheetViews>
    <sheetView workbookViewId="0">
      <selection activeCell="R7" sqref="R7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45962</v>
      </c>
    </row>
    <row r="3" spans="2:18" x14ac:dyDescent="0.25">
      <c r="B3" s="5" t="s">
        <v>17</v>
      </c>
      <c r="C3" s="1"/>
      <c r="D3" s="9">
        <v>42</v>
      </c>
      <c r="E3" s="7">
        <v>3</v>
      </c>
      <c r="O3" s="13">
        <f>SUM(F3:N3)</f>
        <v>0</v>
      </c>
      <c r="Q3" s="4" t="s">
        <v>28</v>
      </c>
      <c r="R3" s="17">
        <v>77</v>
      </c>
    </row>
    <row r="4" spans="2:18" x14ac:dyDescent="0.25">
      <c r="B4" s="5" t="s">
        <v>18</v>
      </c>
      <c r="C4" s="1"/>
      <c r="E4" s="7"/>
      <c r="O4" s="13">
        <f t="shared" ref="O4:O16" si="0">SUM(F4:N4)</f>
        <v>0</v>
      </c>
      <c r="Q4" s="4" t="s">
        <v>29</v>
      </c>
      <c r="R4" s="17">
        <v>48</v>
      </c>
    </row>
    <row r="5" spans="2:18" x14ac:dyDescent="0.25">
      <c r="B5" s="5" t="s">
        <v>19</v>
      </c>
      <c r="C5" s="1"/>
      <c r="E5" s="7"/>
      <c r="O5" s="13">
        <f t="shared" si="0"/>
        <v>0</v>
      </c>
      <c r="Q5" s="4" t="s">
        <v>30</v>
      </c>
      <c r="R5" s="17" t="s">
        <v>52</v>
      </c>
    </row>
    <row r="6" spans="2:18" x14ac:dyDescent="0.25">
      <c r="B6" s="5" t="s">
        <v>20</v>
      </c>
      <c r="C6" s="1" t="s">
        <v>37</v>
      </c>
      <c r="D6" s="9">
        <v>40</v>
      </c>
      <c r="E6" s="7">
        <v>2</v>
      </c>
      <c r="F6" s="9">
        <v>6</v>
      </c>
      <c r="G6" s="9">
        <v>2</v>
      </c>
      <c r="K6" s="9">
        <v>2</v>
      </c>
      <c r="M6" s="9">
        <v>1</v>
      </c>
      <c r="O6" s="13">
        <f t="shared" si="0"/>
        <v>11</v>
      </c>
      <c r="Q6" s="4" t="s">
        <v>31</v>
      </c>
      <c r="R6" s="17" t="s">
        <v>36</v>
      </c>
    </row>
    <row r="7" spans="2:18" x14ac:dyDescent="0.25">
      <c r="B7" s="5" t="s">
        <v>21</v>
      </c>
      <c r="C7" s="1"/>
      <c r="D7" s="9">
        <v>27</v>
      </c>
      <c r="E7" s="7">
        <v>3</v>
      </c>
      <c r="F7" s="9">
        <v>4</v>
      </c>
      <c r="O7" s="13">
        <f t="shared" si="0"/>
        <v>4</v>
      </c>
      <c r="R7" s="9"/>
    </row>
    <row r="8" spans="2:18" x14ac:dyDescent="0.25">
      <c r="B8" s="5" t="s">
        <v>22</v>
      </c>
      <c r="C8" s="1"/>
      <c r="E8" s="7"/>
      <c r="O8" s="13">
        <f t="shared" si="0"/>
        <v>0</v>
      </c>
      <c r="Q8" s="4" t="s">
        <v>40</v>
      </c>
      <c r="R8" s="10">
        <f>SUM(F17:L17)</f>
        <v>14</v>
      </c>
    </row>
    <row r="9" spans="2:18" x14ac:dyDescent="0.25">
      <c r="B9" s="5" t="s">
        <v>23</v>
      </c>
      <c r="C9" s="1"/>
      <c r="E9" s="7"/>
      <c r="O9" s="13">
        <f t="shared" si="0"/>
        <v>0</v>
      </c>
      <c r="Q9" s="4" t="s">
        <v>38</v>
      </c>
      <c r="R9" s="10">
        <f>SUM(F17:G17)</f>
        <v>12</v>
      </c>
    </row>
    <row r="10" spans="2:18" x14ac:dyDescent="0.25">
      <c r="B10" s="5" t="s">
        <v>24</v>
      </c>
      <c r="C10" s="1"/>
      <c r="E10" s="7"/>
      <c r="O10" s="13">
        <f t="shared" si="0"/>
        <v>0</v>
      </c>
      <c r="Q10" s="4" t="s">
        <v>39</v>
      </c>
      <c r="R10" s="10">
        <f>SUM(M17)</f>
        <v>1</v>
      </c>
    </row>
    <row r="11" spans="2:18" x14ac:dyDescent="0.25">
      <c r="B11" s="5" t="s">
        <v>25</v>
      </c>
      <c r="C11" s="1"/>
      <c r="E11" s="7"/>
      <c r="O11" s="13">
        <f t="shared" si="0"/>
        <v>0</v>
      </c>
    </row>
    <row r="12" spans="2:18" x14ac:dyDescent="0.25">
      <c r="B12" s="5" t="s">
        <v>26</v>
      </c>
      <c r="C12" s="1"/>
      <c r="E12" s="7"/>
      <c r="O12" s="13">
        <f t="shared" si="0"/>
        <v>0</v>
      </c>
    </row>
    <row r="13" spans="2:18" x14ac:dyDescent="0.25">
      <c r="B13" s="5" t="s">
        <v>13</v>
      </c>
      <c r="C13" s="1"/>
      <c r="E13" s="7"/>
      <c r="O13" s="13">
        <f t="shared" si="0"/>
        <v>0</v>
      </c>
    </row>
    <row r="14" spans="2:18" x14ac:dyDescent="0.25">
      <c r="B14" s="5" t="s">
        <v>14</v>
      </c>
      <c r="C14" s="1"/>
      <c r="E14" s="7"/>
      <c r="O14" s="13">
        <f t="shared" si="0"/>
        <v>0</v>
      </c>
    </row>
    <row r="15" spans="2:18" x14ac:dyDescent="0.25">
      <c r="B15" s="5" t="s">
        <v>15</v>
      </c>
      <c r="C15" s="1"/>
      <c r="E15" s="7"/>
      <c r="O15" s="13">
        <f t="shared" si="0"/>
        <v>0</v>
      </c>
    </row>
    <row r="16" spans="2:18" x14ac:dyDescent="0.25">
      <c r="B16" s="6" t="s">
        <v>16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8</v>
      </c>
      <c r="F17" s="11">
        <f t="shared" si="1"/>
        <v>10</v>
      </c>
      <c r="G17" s="11">
        <f t="shared" si="1"/>
        <v>2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2</v>
      </c>
      <c r="L17" s="11">
        <f t="shared" si="1"/>
        <v>0</v>
      </c>
      <c r="M17" s="11">
        <f t="shared" si="1"/>
        <v>1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A699-AE02-4412-ACDF-DCD7DCE0D211}">
  <dimension ref="B2:R17"/>
  <sheetViews>
    <sheetView workbookViewId="0">
      <selection activeCell="M9" sqref="M9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45959</v>
      </c>
    </row>
    <row r="3" spans="2:18" x14ac:dyDescent="0.25">
      <c r="B3" s="5" t="s">
        <v>14</v>
      </c>
      <c r="C3" s="1"/>
      <c r="D3" s="9">
        <v>42</v>
      </c>
      <c r="E3" s="7">
        <v>3</v>
      </c>
      <c r="F3" s="9">
        <v>5</v>
      </c>
      <c r="H3" s="9">
        <v>1</v>
      </c>
      <c r="O3" s="13">
        <f>SUM(F3:N3)</f>
        <v>6</v>
      </c>
      <c r="Q3" s="4" t="s">
        <v>28</v>
      </c>
      <c r="R3" s="17"/>
    </row>
    <row r="4" spans="2:18" x14ac:dyDescent="0.25">
      <c r="B4" s="5" t="s">
        <v>15</v>
      </c>
      <c r="C4" s="1"/>
      <c r="D4" s="9">
        <v>40</v>
      </c>
      <c r="E4" s="7">
        <v>2</v>
      </c>
      <c r="F4" s="9">
        <v>6</v>
      </c>
      <c r="O4" s="13">
        <f t="shared" ref="O4:O16" si="0">SUM(F4:N4)</f>
        <v>6</v>
      </c>
      <c r="Q4" s="4" t="s">
        <v>29</v>
      </c>
      <c r="R4" s="17"/>
    </row>
    <row r="5" spans="2:18" x14ac:dyDescent="0.25">
      <c r="B5" s="5" t="s">
        <v>16</v>
      </c>
      <c r="C5" s="1"/>
      <c r="E5" s="7"/>
      <c r="O5" s="13">
        <f t="shared" si="0"/>
        <v>0</v>
      </c>
      <c r="Q5" s="4" t="s">
        <v>30</v>
      </c>
      <c r="R5" s="17" t="s">
        <v>51</v>
      </c>
    </row>
    <row r="6" spans="2:18" x14ac:dyDescent="0.25">
      <c r="B6" s="5" t="s">
        <v>17</v>
      </c>
      <c r="C6" s="1"/>
      <c r="E6" s="7"/>
      <c r="O6" s="13">
        <f t="shared" si="0"/>
        <v>0</v>
      </c>
      <c r="Q6" s="4" t="s">
        <v>31</v>
      </c>
      <c r="R6" s="17" t="s">
        <v>50</v>
      </c>
    </row>
    <row r="7" spans="2:18" x14ac:dyDescent="0.25">
      <c r="B7" s="5" t="s">
        <v>18</v>
      </c>
      <c r="C7" s="1"/>
      <c r="D7" s="9">
        <v>7</v>
      </c>
      <c r="E7" s="7">
        <v>2</v>
      </c>
      <c r="F7" s="9">
        <v>2</v>
      </c>
      <c r="M7" s="9">
        <v>1</v>
      </c>
      <c r="O7" s="13">
        <f t="shared" si="0"/>
        <v>3</v>
      </c>
      <c r="R7" s="9"/>
    </row>
    <row r="8" spans="2:18" x14ac:dyDescent="0.25">
      <c r="B8" s="5" t="s">
        <v>19</v>
      </c>
      <c r="C8" s="1"/>
      <c r="D8" s="9">
        <v>41</v>
      </c>
      <c r="E8" s="7">
        <v>1</v>
      </c>
      <c r="M8" s="9">
        <v>1</v>
      </c>
      <c r="O8" s="13">
        <f t="shared" si="0"/>
        <v>1</v>
      </c>
      <c r="Q8" s="4" t="s">
        <v>40</v>
      </c>
      <c r="R8" s="10">
        <f>SUM(F17:L17)</f>
        <v>15</v>
      </c>
    </row>
    <row r="9" spans="2:18" x14ac:dyDescent="0.25">
      <c r="B9" s="5" t="s">
        <v>20</v>
      </c>
      <c r="C9" s="1"/>
      <c r="E9" s="7"/>
      <c r="O9" s="13">
        <f t="shared" si="0"/>
        <v>0</v>
      </c>
      <c r="Q9" s="4" t="s">
        <v>38</v>
      </c>
      <c r="R9" s="10">
        <f>SUM(F17:G17)</f>
        <v>14</v>
      </c>
    </row>
    <row r="10" spans="2:18" x14ac:dyDescent="0.25">
      <c r="B10" s="5" t="s">
        <v>21</v>
      </c>
      <c r="C10" s="1"/>
      <c r="E10" s="7"/>
      <c r="O10" s="13">
        <f t="shared" si="0"/>
        <v>0</v>
      </c>
      <c r="Q10" s="4" t="s">
        <v>39</v>
      </c>
      <c r="R10" s="10">
        <f>SUM(M17)</f>
        <v>2</v>
      </c>
    </row>
    <row r="11" spans="2:18" x14ac:dyDescent="0.25">
      <c r="B11" s="5" t="s">
        <v>22</v>
      </c>
      <c r="C11" s="1"/>
      <c r="E11" s="7"/>
      <c r="O11" s="13">
        <f t="shared" si="0"/>
        <v>0</v>
      </c>
    </row>
    <row r="12" spans="2:18" x14ac:dyDescent="0.25">
      <c r="B12" s="5" t="s">
        <v>23</v>
      </c>
      <c r="C12" s="1"/>
      <c r="D12" s="9">
        <v>18</v>
      </c>
      <c r="E12" s="7">
        <v>2</v>
      </c>
      <c r="F12" s="9">
        <v>1</v>
      </c>
      <c r="O12" s="13">
        <f t="shared" si="0"/>
        <v>1</v>
      </c>
    </row>
    <row r="13" spans="2:18" x14ac:dyDescent="0.25">
      <c r="B13" s="5" t="s">
        <v>24</v>
      </c>
      <c r="C13" s="1"/>
      <c r="E13" s="7"/>
      <c r="O13" s="13">
        <f t="shared" si="0"/>
        <v>0</v>
      </c>
    </row>
    <row r="14" spans="2:18" x14ac:dyDescent="0.25">
      <c r="B14" s="5" t="s">
        <v>25</v>
      </c>
      <c r="C14" s="1"/>
      <c r="E14" s="7"/>
      <c r="O14" s="13">
        <f t="shared" si="0"/>
        <v>0</v>
      </c>
    </row>
    <row r="15" spans="2:18" x14ac:dyDescent="0.25">
      <c r="B15" s="5" t="s">
        <v>26</v>
      </c>
      <c r="C15" s="1"/>
      <c r="E15" s="7"/>
      <c r="O15" s="13">
        <f t="shared" si="0"/>
        <v>0</v>
      </c>
    </row>
    <row r="16" spans="2:18" x14ac:dyDescent="0.25">
      <c r="B16" s="6" t="s">
        <v>13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10</v>
      </c>
      <c r="F17" s="11">
        <f t="shared" si="1"/>
        <v>14</v>
      </c>
      <c r="G17" s="11">
        <f t="shared" si="1"/>
        <v>0</v>
      </c>
      <c r="H17" s="11">
        <f t="shared" si="1"/>
        <v>1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11">
        <f t="shared" si="1"/>
        <v>0</v>
      </c>
      <c r="M17" s="11">
        <f t="shared" si="1"/>
        <v>2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B8BE-3D50-4D47-9936-2650A3433373}">
  <dimension ref="B2:R20"/>
  <sheetViews>
    <sheetView workbookViewId="0">
      <selection activeCell="T10" sqref="T10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.140625" style="9"/>
    <col min="6" max="6" width="12" style="9" bestFit="1" customWidth="1"/>
    <col min="7" max="7" width="10.42578125" style="9" bestFit="1" customWidth="1"/>
    <col min="8" max="12" width="9.140625" style="9"/>
    <col min="13" max="13" width="10.5703125" style="9" customWidth="1"/>
    <col min="14" max="14" width="9.140625" style="9"/>
    <col min="15" max="15" width="11.42578125" style="9" customWidth="1"/>
    <col min="17" max="17" width="12" customWidth="1"/>
    <col min="18" max="18" width="19.5703125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45956</v>
      </c>
    </row>
    <row r="3" spans="2:18" x14ac:dyDescent="0.25">
      <c r="B3" s="5" t="s">
        <v>25</v>
      </c>
      <c r="C3" s="1"/>
      <c r="D3" s="9">
        <v>18</v>
      </c>
      <c r="E3" s="7">
        <v>2</v>
      </c>
      <c r="F3" s="9">
        <v>2</v>
      </c>
      <c r="I3" s="9">
        <v>1</v>
      </c>
      <c r="K3" s="9">
        <v>1</v>
      </c>
      <c r="O3" s="13">
        <f>SUM(F3:N3)</f>
        <v>4</v>
      </c>
      <c r="Q3" s="4" t="s">
        <v>28</v>
      </c>
      <c r="R3" s="17">
        <v>64</v>
      </c>
    </row>
    <row r="4" spans="2:18" x14ac:dyDescent="0.25">
      <c r="B4" s="5" t="s">
        <v>26</v>
      </c>
      <c r="C4" s="1"/>
      <c r="E4" s="7"/>
      <c r="O4" s="13">
        <f t="shared" ref="O4:O16" si="0">SUM(F4:N4)</f>
        <v>0</v>
      </c>
      <c r="Q4" s="4" t="s">
        <v>29</v>
      </c>
      <c r="R4" s="17">
        <v>53</v>
      </c>
    </row>
    <row r="5" spans="2:18" x14ac:dyDescent="0.25">
      <c r="B5" s="5" t="s">
        <v>13</v>
      </c>
      <c r="C5" s="1"/>
      <c r="E5" s="7"/>
      <c r="O5" s="13">
        <f t="shared" si="0"/>
        <v>0</v>
      </c>
      <c r="Q5" s="4" t="s">
        <v>30</v>
      </c>
      <c r="R5" s="17" t="s">
        <v>48</v>
      </c>
    </row>
    <row r="6" spans="2:18" x14ac:dyDescent="0.25">
      <c r="B6" s="5" t="s">
        <v>14</v>
      </c>
      <c r="C6" s="1"/>
      <c r="E6" s="7"/>
      <c r="O6" s="13">
        <f t="shared" si="0"/>
        <v>0</v>
      </c>
      <c r="Q6" s="4" t="s">
        <v>31</v>
      </c>
      <c r="R6" s="17" t="s">
        <v>49</v>
      </c>
    </row>
    <row r="7" spans="2:18" x14ac:dyDescent="0.25">
      <c r="B7" s="5" t="s">
        <v>15</v>
      </c>
      <c r="C7" s="1"/>
      <c r="E7" s="7"/>
      <c r="O7" s="13">
        <f t="shared" si="0"/>
        <v>0</v>
      </c>
      <c r="R7" s="9"/>
    </row>
    <row r="8" spans="2:18" x14ac:dyDescent="0.25">
      <c r="B8" s="5" t="s">
        <v>16</v>
      </c>
      <c r="C8" s="1"/>
      <c r="E8" s="7"/>
      <c r="O8" s="13">
        <f t="shared" si="0"/>
        <v>0</v>
      </c>
      <c r="Q8" s="4" t="s">
        <v>40</v>
      </c>
      <c r="R8" s="10">
        <f>SUM(F17:L17)</f>
        <v>12</v>
      </c>
    </row>
    <row r="9" spans="2:18" x14ac:dyDescent="0.25">
      <c r="B9" s="5" t="s">
        <v>17</v>
      </c>
      <c r="C9" s="1"/>
      <c r="E9" s="7"/>
      <c r="O9" s="13">
        <f t="shared" si="0"/>
        <v>0</v>
      </c>
      <c r="Q9" s="4" t="s">
        <v>38</v>
      </c>
      <c r="R9" s="10">
        <f>SUM(F17:G17)</f>
        <v>6</v>
      </c>
    </row>
    <row r="10" spans="2:18" x14ac:dyDescent="0.25">
      <c r="B10" s="5" t="s">
        <v>18</v>
      </c>
      <c r="C10" s="1"/>
      <c r="E10" s="7"/>
      <c r="O10" s="13">
        <f t="shared" si="0"/>
        <v>0</v>
      </c>
      <c r="Q10" s="4" t="s">
        <v>39</v>
      </c>
      <c r="R10" s="10">
        <f>SUM(M17)</f>
        <v>0</v>
      </c>
    </row>
    <row r="11" spans="2:18" x14ac:dyDescent="0.25">
      <c r="B11" s="5" t="s">
        <v>19</v>
      </c>
      <c r="C11" s="1"/>
      <c r="E11" s="7"/>
      <c r="O11" s="13">
        <f t="shared" si="0"/>
        <v>0</v>
      </c>
    </row>
    <row r="12" spans="2:18" x14ac:dyDescent="0.25">
      <c r="B12" s="5" t="s">
        <v>20</v>
      </c>
      <c r="C12" s="1"/>
      <c r="E12" s="7"/>
      <c r="O12" s="13">
        <f t="shared" si="0"/>
        <v>0</v>
      </c>
    </row>
    <row r="13" spans="2:18" x14ac:dyDescent="0.25">
      <c r="B13" s="5" t="s">
        <v>21</v>
      </c>
      <c r="C13" s="1"/>
      <c r="E13" s="7"/>
      <c r="O13" s="13">
        <f t="shared" si="0"/>
        <v>0</v>
      </c>
    </row>
    <row r="14" spans="2:18" x14ac:dyDescent="0.25">
      <c r="B14" s="5" t="s">
        <v>22</v>
      </c>
      <c r="C14" s="1" t="s">
        <v>37</v>
      </c>
      <c r="D14" s="9">
        <v>7</v>
      </c>
      <c r="E14" s="7">
        <v>3</v>
      </c>
      <c r="F14" s="9">
        <v>3</v>
      </c>
      <c r="G14" s="9">
        <v>1</v>
      </c>
      <c r="L14" s="9">
        <v>4</v>
      </c>
      <c r="O14" s="13">
        <f t="shared" si="0"/>
        <v>8</v>
      </c>
    </row>
    <row r="15" spans="2:18" x14ac:dyDescent="0.25">
      <c r="B15" s="5" t="s">
        <v>23</v>
      </c>
      <c r="C15" s="1"/>
      <c r="E15" s="7"/>
      <c r="O15" s="13">
        <f t="shared" si="0"/>
        <v>0</v>
      </c>
    </row>
    <row r="16" spans="2:18" x14ac:dyDescent="0.25">
      <c r="B16" s="6" t="s">
        <v>24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5</v>
      </c>
      <c r="F17" s="11">
        <f t="shared" si="1"/>
        <v>5</v>
      </c>
      <c r="G17" s="11">
        <f t="shared" si="1"/>
        <v>1</v>
      </c>
      <c r="H17" s="11">
        <f t="shared" si="1"/>
        <v>0</v>
      </c>
      <c r="I17" s="11">
        <f t="shared" si="1"/>
        <v>1</v>
      </c>
      <c r="J17" s="11">
        <f t="shared" si="1"/>
        <v>0</v>
      </c>
      <c r="K17" s="11">
        <f t="shared" si="1"/>
        <v>1</v>
      </c>
      <c r="L17" s="11">
        <f t="shared" si="1"/>
        <v>4</v>
      </c>
      <c r="M17" s="11">
        <f t="shared" si="1"/>
        <v>0</v>
      </c>
      <c r="N17" s="11">
        <f t="shared" si="1"/>
        <v>0</v>
      </c>
      <c r="O17" s="12"/>
    </row>
    <row r="19" spans="2:15" x14ac:dyDescent="0.25">
      <c r="B19" t="s">
        <v>25</v>
      </c>
    </row>
    <row r="20" spans="2:15" x14ac:dyDescent="0.25">
      <c r="B20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20F9-24A1-4665-A386-F66C5BA9D520}">
  <dimension ref="B2:R17"/>
  <sheetViews>
    <sheetView workbookViewId="0">
      <selection activeCell="M7" sqref="M7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" style="9"/>
    <col min="6" max="6" width="12" style="9" bestFit="1" customWidth="1"/>
    <col min="7" max="7" width="10.42578125" style="9" bestFit="1" customWidth="1"/>
    <col min="8" max="12" width="9" style="9"/>
    <col min="13" max="13" width="10.5703125" style="9" customWidth="1"/>
    <col min="14" max="14" width="9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45955</v>
      </c>
    </row>
    <row r="3" spans="2:18" x14ac:dyDescent="0.25">
      <c r="B3" s="5" t="s">
        <v>22</v>
      </c>
      <c r="C3" s="1" t="s">
        <v>37</v>
      </c>
      <c r="D3" s="9">
        <v>7</v>
      </c>
      <c r="E3" s="7">
        <v>3</v>
      </c>
      <c r="F3" s="9">
        <v>4</v>
      </c>
      <c r="G3" s="9">
        <v>3</v>
      </c>
      <c r="I3" s="9">
        <v>7</v>
      </c>
      <c r="J3" s="9">
        <v>2</v>
      </c>
      <c r="L3" s="9">
        <v>5</v>
      </c>
      <c r="M3" s="9">
        <v>1</v>
      </c>
      <c r="O3" s="13">
        <f>SUM(F3:N3)</f>
        <v>22</v>
      </c>
      <c r="Q3" s="4" t="s">
        <v>28</v>
      </c>
      <c r="R3" s="17">
        <v>69</v>
      </c>
    </row>
    <row r="4" spans="2:18" x14ac:dyDescent="0.25">
      <c r="B4" s="5" t="s">
        <v>23</v>
      </c>
      <c r="C4" s="1"/>
      <c r="D4" s="9">
        <v>42</v>
      </c>
      <c r="E4" s="7">
        <v>2</v>
      </c>
      <c r="F4" s="9">
        <v>13</v>
      </c>
      <c r="G4" s="9">
        <v>1</v>
      </c>
      <c r="M4" s="9">
        <v>1</v>
      </c>
      <c r="O4" s="13">
        <f t="shared" ref="O4:O16" si="0">SUM(F4:N4)</f>
        <v>15</v>
      </c>
      <c r="Q4" s="4" t="s">
        <v>29</v>
      </c>
      <c r="R4" s="17">
        <v>51</v>
      </c>
    </row>
    <row r="5" spans="2:18" x14ac:dyDescent="0.25">
      <c r="B5" s="5" t="s">
        <v>24</v>
      </c>
      <c r="C5" s="1"/>
      <c r="D5" s="9">
        <v>27</v>
      </c>
      <c r="E5" s="7">
        <v>3</v>
      </c>
      <c r="F5" s="9">
        <v>5</v>
      </c>
      <c r="G5" s="9">
        <v>2</v>
      </c>
      <c r="J5" s="9">
        <v>1</v>
      </c>
      <c r="K5" s="9">
        <v>2</v>
      </c>
      <c r="L5" s="9">
        <v>4</v>
      </c>
      <c r="O5" s="13">
        <f t="shared" si="0"/>
        <v>14</v>
      </c>
      <c r="Q5" s="4" t="s">
        <v>30</v>
      </c>
      <c r="R5" s="17" t="s">
        <v>44</v>
      </c>
    </row>
    <row r="6" spans="2:18" x14ac:dyDescent="0.25">
      <c r="B6" s="5" t="s">
        <v>25</v>
      </c>
      <c r="C6" s="1"/>
      <c r="E6" s="7"/>
      <c r="O6" s="13">
        <f t="shared" si="0"/>
        <v>0</v>
      </c>
      <c r="Q6" s="4" t="s">
        <v>31</v>
      </c>
      <c r="R6" s="17" t="s">
        <v>45</v>
      </c>
    </row>
    <row r="7" spans="2:18" x14ac:dyDescent="0.25">
      <c r="B7" s="5" t="s">
        <v>26</v>
      </c>
      <c r="C7" s="1"/>
      <c r="E7" s="7"/>
      <c r="O7" s="13">
        <f t="shared" si="0"/>
        <v>0</v>
      </c>
      <c r="R7" s="9"/>
    </row>
    <row r="8" spans="2:18" x14ac:dyDescent="0.25">
      <c r="B8" s="5" t="s">
        <v>13</v>
      </c>
      <c r="C8" s="1"/>
      <c r="E8" s="7"/>
      <c r="O8" s="13">
        <f t="shared" si="0"/>
        <v>0</v>
      </c>
      <c r="Q8" s="4" t="s">
        <v>40</v>
      </c>
      <c r="R8" s="10">
        <f>SUM(F17:L17)</f>
        <v>69</v>
      </c>
    </row>
    <row r="9" spans="2:18" x14ac:dyDescent="0.25">
      <c r="B9" s="5" t="s">
        <v>14</v>
      </c>
      <c r="C9" s="1"/>
      <c r="D9" s="9">
        <v>40</v>
      </c>
      <c r="E9" s="7">
        <v>2</v>
      </c>
      <c r="F9" s="9">
        <v>5</v>
      </c>
      <c r="K9" s="9">
        <v>9</v>
      </c>
      <c r="O9" s="13">
        <f t="shared" si="0"/>
        <v>14</v>
      </c>
      <c r="Q9" s="4" t="s">
        <v>38</v>
      </c>
      <c r="R9" s="10">
        <f>SUM(F17:G17)</f>
        <v>38</v>
      </c>
    </row>
    <row r="10" spans="2:18" x14ac:dyDescent="0.25">
      <c r="B10" s="5" t="s">
        <v>15</v>
      </c>
      <c r="C10" s="1"/>
      <c r="E10" s="7"/>
      <c r="O10" s="13">
        <f t="shared" si="0"/>
        <v>0</v>
      </c>
      <c r="Q10" s="4" t="s">
        <v>39</v>
      </c>
      <c r="R10" s="10">
        <f>SUM(M17)</f>
        <v>2</v>
      </c>
    </row>
    <row r="11" spans="2:18" x14ac:dyDescent="0.25">
      <c r="B11" s="5" t="s">
        <v>16</v>
      </c>
      <c r="C11" s="1"/>
      <c r="E11" s="7"/>
      <c r="O11" s="13">
        <f t="shared" si="0"/>
        <v>0</v>
      </c>
    </row>
    <row r="12" spans="2:18" x14ac:dyDescent="0.25">
      <c r="B12" s="5" t="s">
        <v>17</v>
      </c>
      <c r="C12" s="1"/>
      <c r="E12" s="7"/>
      <c r="O12" s="13">
        <f t="shared" si="0"/>
        <v>0</v>
      </c>
    </row>
    <row r="13" spans="2:18" x14ac:dyDescent="0.25">
      <c r="B13" s="5" t="s">
        <v>18</v>
      </c>
      <c r="C13" s="1"/>
      <c r="D13" s="9">
        <v>46</v>
      </c>
      <c r="E13" s="7">
        <v>1</v>
      </c>
      <c r="F13" s="9">
        <v>1</v>
      </c>
      <c r="L13" s="9">
        <v>1</v>
      </c>
      <c r="O13" s="13">
        <f t="shared" si="0"/>
        <v>2</v>
      </c>
    </row>
    <row r="14" spans="2:18" x14ac:dyDescent="0.25">
      <c r="B14" s="5" t="s">
        <v>19</v>
      </c>
      <c r="C14" s="1"/>
      <c r="D14" s="9">
        <v>25</v>
      </c>
      <c r="E14" s="7">
        <v>2</v>
      </c>
      <c r="F14" s="9">
        <v>2</v>
      </c>
      <c r="G14" s="9">
        <v>2</v>
      </c>
      <c r="O14" s="13">
        <f t="shared" si="0"/>
        <v>4</v>
      </c>
    </row>
    <row r="15" spans="2:18" x14ac:dyDescent="0.25">
      <c r="B15" s="5" t="s">
        <v>20</v>
      </c>
      <c r="C15" s="1"/>
      <c r="E15" s="7"/>
      <c r="O15" s="13">
        <f t="shared" si="0"/>
        <v>0</v>
      </c>
    </row>
    <row r="16" spans="2:18" x14ac:dyDescent="0.25">
      <c r="B16" s="6" t="s">
        <v>21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13</v>
      </c>
      <c r="F17" s="11">
        <f t="shared" si="1"/>
        <v>30</v>
      </c>
      <c r="G17" s="11">
        <f t="shared" si="1"/>
        <v>8</v>
      </c>
      <c r="H17" s="11">
        <f t="shared" si="1"/>
        <v>0</v>
      </c>
      <c r="I17" s="11">
        <f t="shared" si="1"/>
        <v>7</v>
      </c>
      <c r="J17" s="11">
        <f t="shared" si="1"/>
        <v>3</v>
      </c>
      <c r="K17" s="11">
        <f t="shared" si="1"/>
        <v>11</v>
      </c>
      <c r="L17" s="11">
        <f t="shared" si="1"/>
        <v>10</v>
      </c>
      <c r="M17" s="11">
        <f t="shared" si="1"/>
        <v>2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D19A-3BA9-4EF2-BDF5-ACF1BF8CB3B3}">
  <dimension ref="B2:R17"/>
  <sheetViews>
    <sheetView workbookViewId="0">
      <selection activeCell="R7" sqref="R7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" style="9"/>
    <col min="6" max="6" width="12" style="9" bestFit="1" customWidth="1"/>
    <col min="7" max="7" width="10.42578125" style="9" bestFit="1" customWidth="1"/>
    <col min="8" max="12" width="9" style="9"/>
    <col min="13" max="13" width="10.5703125" style="9" customWidth="1"/>
    <col min="14" max="14" width="9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45952</v>
      </c>
    </row>
    <row r="3" spans="2:18" x14ac:dyDescent="0.25">
      <c r="B3" s="5" t="s">
        <v>19</v>
      </c>
      <c r="C3" s="1"/>
      <c r="D3" s="9">
        <v>42</v>
      </c>
      <c r="E3" s="7">
        <v>2</v>
      </c>
      <c r="F3" s="9">
        <v>7</v>
      </c>
      <c r="K3" s="9">
        <v>1</v>
      </c>
      <c r="O3" s="13">
        <f>SUM(F3:N3)</f>
        <v>8</v>
      </c>
      <c r="Q3" s="4" t="s">
        <v>28</v>
      </c>
      <c r="R3" s="17">
        <v>63</v>
      </c>
    </row>
    <row r="4" spans="2:18" x14ac:dyDescent="0.25">
      <c r="B4" s="5" t="s">
        <v>20</v>
      </c>
      <c r="C4" s="1"/>
      <c r="E4" s="7"/>
      <c r="O4" s="13">
        <f t="shared" ref="O4:O16" si="0">SUM(F4:N4)</f>
        <v>0</v>
      </c>
      <c r="Q4" s="4" t="s">
        <v>29</v>
      </c>
      <c r="R4" s="17">
        <v>45</v>
      </c>
    </row>
    <row r="5" spans="2:18" x14ac:dyDescent="0.25">
      <c r="B5" s="5" t="s">
        <v>21</v>
      </c>
      <c r="C5" s="1"/>
      <c r="E5" s="7"/>
      <c r="O5" s="13">
        <f t="shared" si="0"/>
        <v>0</v>
      </c>
      <c r="Q5" s="4" t="s">
        <v>30</v>
      </c>
      <c r="R5" s="17" t="s">
        <v>46</v>
      </c>
    </row>
    <row r="6" spans="2:18" x14ac:dyDescent="0.25">
      <c r="B6" s="5" t="s">
        <v>22</v>
      </c>
      <c r="C6" s="1"/>
      <c r="E6" s="7"/>
      <c r="O6" s="13">
        <f t="shared" si="0"/>
        <v>0</v>
      </c>
      <c r="Q6" s="4" t="s">
        <v>31</v>
      </c>
      <c r="R6" s="17" t="s">
        <v>47</v>
      </c>
    </row>
    <row r="7" spans="2:18" x14ac:dyDescent="0.25">
      <c r="B7" s="5" t="s">
        <v>23</v>
      </c>
      <c r="C7" s="1"/>
      <c r="D7" s="9">
        <v>7</v>
      </c>
      <c r="E7" s="7">
        <v>1</v>
      </c>
      <c r="F7" s="9">
        <v>6</v>
      </c>
      <c r="H7" s="9">
        <v>1</v>
      </c>
      <c r="O7" s="13">
        <f t="shared" si="0"/>
        <v>7</v>
      </c>
      <c r="R7" s="9"/>
    </row>
    <row r="8" spans="2:18" x14ac:dyDescent="0.25">
      <c r="B8" s="5" t="s">
        <v>24</v>
      </c>
      <c r="C8" s="1"/>
      <c r="D8" s="9">
        <v>40</v>
      </c>
      <c r="E8" s="7">
        <v>1</v>
      </c>
      <c r="K8" s="9">
        <v>1</v>
      </c>
      <c r="L8" s="9">
        <v>1</v>
      </c>
      <c r="O8" s="13">
        <f t="shared" si="0"/>
        <v>2</v>
      </c>
      <c r="Q8" s="4" t="s">
        <v>40</v>
      </c>
      <c r="R8" s="10">
        <f>SUM(F17:L17)</f>
        <v>26</v>
      </c>
    </row>
    <row r="9" spans="2:18" x14ac:dyDescent="0.25">
      <c r="B9" s="5" t="s">
        <v>25</v>
      </c>
      <c r="C9" s="1"/>
      <c r="E9" s="7"/>
      <c r="O9" s="13">
        <f t="shared" si="0"/>
        <v>0</v>
      </c>
      <c r="Q9" s="4" t="s">
        <v>38</v>
      </c>
      <c r="R9" s="10">
        <f>SUM(F17:G17)</f>
        <v>18</v>
      </c>
    </row>
    <row r="10" spans="2:18" x14ac:dyDescent="0.25">
      <c r="B10" s="5" t="s">
        <v>26</v>
      </c>
      <c r="C10" s="1"/>
      <c r="D10" s="9">
        <v>46</v>
      </c>
      <c r="E10" s="7">
        <v>2</v>
      </c>
      <c r="F10" s="9">
        <v>1</v>
      </c>
      <c r="K10" s="9">
        <v>1</v>
      </c>
      <c r="M10" s="9">
        <v>1</v>
      </c>
      <c r="O10" s="13">
        <f t="shared" si="0"/>
        <v>3</v>
      </c>
      <c r="Q10" s="4" t="s">
        <v>39</v>
      </c>
      <c r="R10" s="10">
        <f>SUM(M17)</f>
        <v>1</v>
      </c>
    </row>
    <row r="11" spans="2:18" x14ac:dyDescent="0.25">
      <c r="B11" s="5" t="s">
        <v>13</v>
      </c>
      <c r="C11" s="1"/>
      <c r="E11" s="7"/>
      <c r="O11" s="13">
        <f t="shared" si="0"/>
        <v>0</v>
      </c>
    </row>
    <row r="12" spans="2:18" x14ac:dyDescent="0.25">
      <c r="B12" s="5" t="s">
        <v>14</v>
      </c>
      <c r="C12" s="1"/>
      <c r="D12" s="9">
        <v>41</v>
      </c>
      <c r="E12" s="7">
        <v>2</v>
      </c>
      <c r="F12" s="9">
        <v>4</v>
      </c>
      <c r="I12" s="9">
        <v>1</v>
      </c>
      <c r="J12" s="9">
        <v>1</v>
      </c>
      <c r="K12" s="9">
        <v>1</v>
      </c>
      <c r="O12" s="13">
        <f t="shared" si="0"/>
        <v>7</v>
      </c>
    </row>
    <row r="13" spans="2:18" x14ac:dyDescent="0.25">
      <c r="B13" s="5" t="s">
        <v>15</v>
      </c>
      <c r="C13" s="1"/>
      <c r="E13" s="7"/>
      <c r="O13" s="13">
        <f t="shared" si="0"/>
        <v>0</v>
      </c>
    </row>
    <row r="14" spans="2:18" x14ac:dyDescent="0.25">
      <c r="B14" s="5" t="s">
        <v>16</v>
      </c>
      <c r="C14" s="1"/>
      <c r="E14" s="7"/>
      <c r="O14" s="13">
        <f t="shared" si="0"/>
        <v>0</v>
      </c>
    </row>
    <row r="15" spans="2:18" x14ac:dyDescent="0.25">
      <c r="B15" s="5" t="s">
        <v>17</v>
      </c>
      <c r="C15" s="1"/>
      <c r="E15" s="7"/>
      <c r="O15" s="13">
        <f t="shared" si="0"/>
        <v>0</v>
      </c>
    </row>
    <row r="16" spans="2:18" x14ac:dyDescent="0.25">
      <c r="B16" s="6" t="s">
        <v>18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8</v>
      </c>
      <c r="F17" s="11">
        <f t="shared" si="1"/>
        <v>18</v>
      </c>
      <c r="G17" s="11">
        <f t="shared" si="1"/>
        <v>0</v>
      </c>
      <c r="H17" s="11">
        <f t="shared" si="1"/>
        <v>1</v>
      </c>
      <c r="I17" s="11">
        <f t="shared" si="1"/>
        <v>1</v>
      </c>
      <c r="J17" s="11">
        <f t="shared" si="1"/>
        <v>1</v>
      </c>
      <c r="K17" s="11">
        <f t="shared" si="1"/>
        <v>4</v>
      </c>
      <c r="L17" s="11">
        <f t="shared" si="1"/>
        <v>1</v>
      </c>
      <c r="M17" s="11">
        <f t="shared" si="1"/>
        <v>1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CEB5-BF15-4E07-A8BC-7567CA4D9501}">
  <dimension ref="B2:R17"/>
  <sheetViews>
    <sheetView workbookViewId="0">
      <selection activeCell="M12" sqref="M12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" style="9"/>
    <col min="6" max="6" width="12" style="9" bestFit="1" customWidth="1"/>
    <col min="7" max="7" width="10.42578125" style="9" bestFit="1" customWidth="1"/>
    <col min="8" max="12" width="9" style="9"/>
    <col min="13" max="13" width="10.5703125" style="9" customWidth="1"/>
    <col min="14" max="14" width="9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45949</v>
      </c>
    </row>
    <row r="3" spans="2:18" x14ac:dyDescent="0.25">
      <c r="B3" s="5" t="s">
        <v>16</v>
      </c>
      <c r="C3" s="1"/>
      <c r="E3" s="7"/>
      <c r="O3" s="13">
        <f>SUM(F3:N3)</f>
        <v>0</v>
      </c>
      <c r="Q3" s="4" t="s">
        <v>28</v>
      </c>
      <c r="R3" s="17">
        <v>73</v>
      </c>
    </row>
    <row r="4" spans="2:18" x14ac:dyDescent="0.25">
      <c r="B4" s="5" t="s">
        <v>17</v>
      </c>
      <c r="C4" s="1"/>
      <c r="D4" s="9">
        <v>40</v>
      </c>
      <c r="E4" s="7">
        <v>3</v>
      </c>
      <c r="F4" s="9">
        <v>9</v>
      </c>
      <c r="G4" s="9">
        <v>1</v>
      </c>
      <c r="K4" s="9">
        <v>3</v>
      </c>
      <c r="O4" s="13">
        <f t="shared" ref="O4:O16" si="0">SUM(F4:N4)</f>
        <v>13</v>
      </c>
      <c r="Q4" s="4" t="s">
        <v>29</v>
      </c>
      <c r="R4" s="17">
        <v>52</v>
      </c>
    </row>
    <row r="5" spans="2:18" x14ac:dyDescent="0.25">
      <c r="B5" s="5" t="s">
        <v>18</v>
      </c>
      <c r="C5" s="1"/>
      <c r="D5" s="9">
        <v>42</v>
      </c>
      <c r="E5" s="7">
        <v>2</v>
      </c>
      <c r="F5" s="9">
        <v>8</v>
      </c>
      <c r="K5" s="9">
        <v>1</v>
      </c>
      <c r="L5" s="9">
        <v>1</v>
      </c>
      <c r="O5" s="13">
        <f t="shared" si="0"/>
        <v>10</v>
      </c>
      <c r="Q5" s="4" t="s">
        <v>30</v>
      </c>
      <c r="R5" s="17" t="s">
        <v>43</v>
      </c>
    </row>
    <row r="6" spans="2:18" x14ac:dyDescent="0.25">
      <c r="B6" s="5" t="s">
        <v>19</v>
      </c>
      <c r="C6" s="1"/>
      <c r="D6" s="9">
        <v>18</v>
      </c>
      <c r="E6" s="7">
        <v>2</v>
      </c>
      <c r="F6" s="9">
        <v>5</v>
      </c>
      <c r="G6" s="9">
        <v>1</v>
      </c>
      <c r="O6" s="13">
        <f t="shared" si="0"/>
        <v>6</v>
      </c>
      <c r="Q6" s="4" t="s">
        <v>31</v>
      </c>
      <c r="R6" s="17" t="s">
        <v>36</v>
      </c>
    </row>
    <row r="7" spans="2:18" x14ac:dyDescent="0.25">
      <c r="B7" s="5" t="s">
        <v>20</v>
      </c>
      <c r="C7" s="1" t="s">
        <v>37</v>
      </c>
      <c r="D7" s="9">
        <v>26</v>
      </c>
      <c r="E7" s="7">
        <v>2</v>
      </c>
      <c r="F7" s="9">
        <v>2</v>
      </c>
      <c r="G7" s="9">
        <v>1</v>
      </c>
      <c r="L7" s="9">
        <v>3</v>
      </c>
      <c r="O7" s="13">
        <f t="shared" si="0"/>
        <v>6</v>
      </c>
      <c r="R7" s="9"/>
    </row>
    <row r="8" spans="2:18" x14ac:dyDescent="0.25">
      <c r="B8" s="5" t="s">
        <v>21</v>
      </c>
      <c r="C8" s="1"/>
      <c r="D8" s="9">
        <v>7</v>
      </c>
      <c r="E8" s="7">
        <v>3</v>
      </c>
      <c r="F8" s="9">
        <v>9</v>
      </c>
      <c r="G8" s="9">
        <v>2</v>
      </c>
      <c r="H8" s="9">
        <v>2</v>
      </c>
      <c r="I8" s="9">
        <v>1</v>
      </c>
      <c r="O8" s="13">
        <f t="shared" si="0"/>
        <v>14</v>
      </c>
      <c r="Q8" s="4" t="s">
        <v>40</v>
      </c>
      <c r="R8" s="10">
        <f>SUM(F17:L17)</f>
        <v>79</v>
      </c>
    </row>
    <row r="9" spans="2:18" x14ac:dyDescent="0.25">
      <c r="B9" s="5" t="s">
        <v>22</v>
      </c>
      <c r="C9" s="1"/>
      <c r="E9" s="7"/>
      <c r="O9" s="13">
        <f t="shared" si="0"/>
        <v>0</v>
      </c>
      <c r="Q9" s="4" t="s">
        <v>38</v>
      </c>
      <c r="R9" s="10">
        <f>SUM(F17:G17)</f>
        <v>46</v>
      </c>
    </row>
    <row r="10" spans="2:18" x14ac:dyDescent="0.25">
      <c r="B10" s="5" t="s">
        <v>23</v>
      </c>
      <c r="C10" s="1"/>
      <c r="E10" s="7"/>
      <c r="O10" s="13">
        <f t="shared" si="0"/>
        <v>0</v>
      </c>
      <c r="Q10" s="4" t="s">
        <v>39</v>
      </c>
      <c r="R10" s="10">
        <f>SUM(M17)</f>
        <v>2</v>
      </c>
    </row>
    <row r="11" spans="2:18" x14ac:dyDescent="0.25">
      <c r="B11" s="5" t="s">
        <v>24</v>
      </c>
      <c r="C11" s="1"/>
      <c r="D11" s="9">
        <v>46</v>
      </c>
      <c r="E11" s="7">
        <v>3</v>
      </c>
      <c r="F11" s="9">
        <v>2</v>
      </c>
      <c r="M11" s="9">
        <v>2</v>
      </c>
      <c r="O11" s="13">
        <f t="shared" si="0"/>
        <v>4</v>
      </c>
    </row>
    <row r="12" spans="2:18" x14ac:dyDescent="0.25">
      <c r="B12" s="5" t="s">
        <v>25</v>
      </c>
      <c r="C12" s="1" t="s">
        <v>32</v>
      </c>
      <c r="D12" s="9">
        <v>25</v>
      </c>
      <c r="E12" s="7">
        <v>2</v>
      </c>
      <c r="F12" s="9">
        <v>3</v>
      </c>
      <c r="K12" s="9">
        <v>1</v>
      </c>
      <c r="O12" s="13">
        <f t="shared" si="0"/>
        <v>4</v>
      </c>
    </row>
    <row r="13" spans="2:18" x14ac:dyDescent="0.25">
      <c r="B13" s="5" t="s">
        <v>26</v>
      </c>
      <c r="C13" s="1"/>
      <c r="E13" s="7"/>
      <c r="O13" s="13">
        <f t="shared" si="0"/>
        <v>0</v>
      </c>
    </row>
    <row r="14" spans="2:18" x14ac:dyDescent="0.25">
      <c r="B14" s="5" t="s">
        <v>13</v>
      </c>
      <c r="C14" s="1"/>
      <c r="D14" s="9">
        <v>30</v>
      </c>
      <c r="E14" s="7">
        <v>3</v>
      </c>
      <c r="I14" s="9">
        <v>2</v>
      </c>
      <c r="J14" s="9">
        <v>4</v>
      </c>
      <c r="L14" s="9">
        <v>2</v>
      </c>
      <c r="O14" s="13">
        <f t="shared" si="0"/>
        <v>8</v>
      </c>
    </row>
    <row r="15" spans="2:18" x14ac:dyDescent="0.25">
      <c r="B15" s="5" t="s">
        <v>14</v>
      </c>
      <c r="C15" s="1"/>
      <c r="D15" s="9">
        <v>49</v>
      </c>
      <c r="E15" s="7">
        <v>2</v>
      </c>
      <c r="G15" s="9">
        <v>1</v>
      </c>
      <c r="J15" s="9">
        <v>4</v>
      </c>
      <c r="L15" s="9">
        <v>5</v>
      </c>
      <c r="O15" s="13">
        <f t="shared" si="0"/>
        <v>10</v>
      </c>
    </row>
    <row r="16" spans="2:18" x14ac:dyDescent="0.25">
      <c r="B16" s="6" t="s">
        <v>15</v>
      </c>
      <c r="C16" s="2"/>
      <c r="D16" s="14">
        <v>12</v>
      </c>
      <c r="E16" s="8">
        <v>1</v>
      </c>
      <c r="F16" s="14">
        <v>1</v>
      </c>
      <c r="G16" s="14">
        <v>1</v>
      </c>
      <c r="H16" s="14"/>
      <c r="I16" s="14"/>
      <c r="J16" s="14"/>
      <c r="K16" s="14"/>
      <c r="L16" s="14">
        <v>4</v>
      </c>
      <c r="M16" s="14"/>
      <c r="N16" s="14"/>
      <c r="O16" s="13">
        <f t="shared" si="0"/>
        <v>6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23</v>
      </c>
      <c r="F17" s="11">
        <f t="shared" si="1"/>
        <v>39</v>
      </c>
      <c r="G17" s="11">
        <f t="shared" si="1"/>
        <v>7</v>
      </c>
      <c r="H17" s="11">
        <f t="shared" si="1"/>
        <v>2</v>
      </c>
      <c r="I17" s="11">
        <f t="shared" si="1"/>
        <v>3</v>
      </c>
      <c r="J17" s="11">
        <f t="shared" si="1"/>
        <v>8</v>
      </c>
      <c r="K17" s="11">
        <f t="shared" si="1"/>
        <v>5</v>
      </c>
      <c r="L17" s="11">
        <f t="shared" si="1"/>
        <v>15</v>
      </c>
      <c r="M17" s="11">
        <f t="shared" si="1"/>
        <v>2</v>
      </c>
      <c r="N17" s="11">
        <f t="shared" si="1"/>
        <v>0</v>
      </c>
      <c r="O17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2F4-D8C2-411F-AA39-D3B192007917}">
  <dimension ref="B2:R17"/>
  <sheetViews>
    <sheetView workbookViewId="0">
      <selection activeCell="C18" sqref="C18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" style="9"/>
    <col min="6" max="6" width="12" style="9" bestFit="1" customWidth="1"/>
    <col min="7" max="7" width="10.42578125" style="9" bestFit="1" customWidth="1"/>
    <col min="8" max="12" width="9" style="9"/>
    <col min="13" max="13" width="10.5703125" style="9" customWidth="1"/>
    <col min="14" max="14" width="9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>
        <v>45948</v>
      </c>
    </row>
    <row r="3" spans="2:18" x14ac:dyDescent="0.25">
      <c r="B3" s="5" t="s">
        <v>13</v>
      </c>
      <c r="C3" s="1"/>
      <c r="D3" s="9">
        <v>42</v>
      </c>
      <c r="E3" s="7">
        <v>3</v>
      </c>
      <c r="F3" s="9">
        <v>18</v>
      </c>
      <c r="G3" s="9">
        <v>1</v>
      </c>
      <c r="M3" s="9">
        <v>2</v>
      </c>
      <c r="O3" s="13">
        <f>SUM(F3:N3)</f>
        <v>21</v>
      </c>
      <c r="Q3" s="4" t="s">
        <v>28</v>
      </c>
      <c r="R3" s="17">
        <v>76</v>
      </c>
    </row>
    <row r="4" spans="2:18" x14ac:dyDescent="0.25">
      <c r="B4" s="5" t="s">
        <v>14</v>
      </c>
      <c r="C4" s="1"/>
      <c r="D4" s="9">
        <v>7</v>
      </c>
      <c r="E4" s="7">
        <v>3</v>
      </c>
      <c r="F4" s="9">
        <v>10</v>
      </c>
      <c r="I4" s="9">
        <v>2</v>
      </c>
      <c r="J4" s="9">
        <v>4</v>
      </c>
      <c r="L4" s="9">
        <v>2</v>
      </c>
      <c r="O4" s="13">
        <f t="shared" ref="O4:O16" si="0">SUM(F4:N4)</f>
        <v>18</v>
      </c>
      <c r="Q4" s="4" t="s">
        <v>29</v>
      </c>
      <c r="R4" s="17">
        <v>51</v>
      </c>
    </row>
    <row r="5" spans="2:18" x14ac:dyDescent="0.25">
      <c r="B5" s="5" t="s">
        <v>15</v>
      </c>
      <c r="C5" s="1"/>
      <c r="D5" s="9">
        <v>25</v>
      </c>
      <c r="E5" s="7">
        <v>2</v>
      </c>
      <c r="F5" s="9">
        <v>7</v>
      </c>
      <c r="I5" s="9">
        <v>2</v>
      </c>
      <c r="N5" s="9">
        <v>1</v>
      </c>
      <c r="O5" s="13">
        <f t="shared" si="0"/>
        <v>10</v>
      </c>
      <c r="Q5" s="4" t="s">
        <v>30</v>
      </c>
      <c r="R5" s="17" t="s">
        <v>35</v>
      </c>
    </row>
    <row r="6" spans="2:18" x14ac:dyDescent="0.25">
      <c r="B6" s="5" t="s">
        <v>16</v>
      </c>
      <c r="C6" s="1"/>
      <c r="E6" s="7"/>
      <c r="O6" s="13">
        <f t="shared" si="0"/>
        <v>0</v>
      </c>
      <c r="Q6" s="4" t="s">
        <v>31</v>
      </c>
      <c r="R6" s="17" t="s">
        <v>36</v>
      </c>
    </row>
    <row r="7" spans="2:18" x14ac:dyDescent="0.25">
      <c r="B7" s="5" t="s">
        <v>17</v>
      </c>
      <c r="C7" s="1"/>
      <c r="D7" s="9">
        <v>40</v>
      </c>
      <c r="E7" s="7">
        <v>3</v>
      </c>
      <c r="F7" s="9">
        <v>14</v>
      </c>
      <c r="O7" s="13">
        <f t="shared" si="0"/>
        <v>14</v>
      </c>
      <c r="R7" s="9"/>
    </row>
    <row r="8" spans="2:18" x14ac:dyDescent="0.25">
      <c r="B8" s="5" t="s">
        <v>18</v>
      </c>
      <c r="C8" s="1"/>
      <c r="D8" s="9">
        <v>4</v>
      </c>
      <c r="E8" s="7">
        <v>2</v>
      </c>
      <c r="H8" s="9">
        <v>2</v>
      </c>
      <c r="J8" s="9">
        <v>1</v>
      </c>
      <c r="L8" s="9">
        <v>1</v>
      </c>
      <c r="O8" s="13">
        <f t="shared" si="0"/>
        <v>4</v>
      </c>
      <c r="Q8" s="4" t="s">
        <v>40</v>
      </c>
      <c r="R8" s="10">
        <f>SUM(F17:L17)</f>
        <v>138</v>
      </c>
    </row>
    <row r="9" spans="2:18" x14ac:dyDescent="0.25">
      <c r="B9" s="5" t="s">
        <v>19</v>
      </c>
      <c r="C9" s="1"/>
      <c r="D9" s="9">
        <v>18</v>
      </c>
      <c r="E9" s="7">
        <v>2</v>
      </c>
      <c r="F9" s="9">
        <v>14</v>
      </c>
      <c r="O9" s="13">
        <f t="shared" si="0"/>
        <v>14</v>
      </c>
      <c r="Q9" s="4" t="s">
        <v>38</v>
      </c>
      <c r="R9" s="10">
        <f>SUM(F17:G17)</f>
        <v>104</v>
      </c>
    </row>
    <row r="10" spans="2:18" x14ac:dyDescent="0.25">
      <c r="B10" s="5" t="s">
        <v>20</v>
      </c>
      <c r="C10" s="1" t="s">
        <v>37</v>
      </c>
      <c r="D10" s="9">
        <v>46</v>
      </c>
      <c r="E10" s="7">
        <v>2</v>
      </c>
      <c r="F10" s="9">
        <v>9</v>
      </c>
      <c r="G10" s="9">
        <v>1</v>
      </c>
      <c r="H10" s="9">
        <v>1</v>
      </c>
      <c r="I10" s="9">
        <v>1</v>
      </c>
      <c r="J10" s="9">
        <v>1</v>
      </c>
      <c r="M10" s="9">
        <v>3</v>
      </c>
      <c r="O10" s="13">
        <f t="shared" si="0"/>
        <v>16</v>
      </c>
      <c r="Q10" s="4" t="s">
        <v>39</v>
      </c>
      <c r="R10" s="10">
        <f>SUM(M17)</f>
        <v>8</v>
      </c>
    </row>
    <row r="11" spans="2:18" x14ac:dyDescent="0.25">
      <c r="B11" s="5" t="s">
        <v>21</v>
      </c>
      <c r="C11" s="1"/>
      <c r="D11" s="9">
        <v>41</v>
      </c>
      <c r="E11" s="7">
        <v>3</v>
      </c>
      <c r="F11" s="9">
        <v>9</v>
      </c>
      <c r="G11" s="9">
        <v>1</v>
      </c>
      <c r="M11" s="9">
        <v>1</v>
      </c>
      <c r="O11" s="13">
        <f t="shared" si="0"/>
        <v>11</v>
      </c>
    </row>
    <row r="12" spans="2:18" x14ac:dyDescent="0.25">
      <c r="B12" s="5" t="s">
        <v>22</v>
      </c>
      <c r="C12" s="1"/>
      <c r="E12" s="7"/>
      <c r="O12" s="13">
        <f t="shared" si="0"/>
        <v>0</v>
      </c>
    </row>
    <row r="13" spans="2:18" x14ac:dyDescent="0.25">
      <c r="B13" s="5" t="s">
        <v>23</v>
      </c>
      <c r="C13" s="1"/>
      <c r="D13" s="9">
        <v>27</v>
      </c>
      <c r="E13" s="7">
        <v>2</v>
      </c>
      <c r="F13" s="9">
        <v>8</v>
      </c>
      <c r="M13" s="9">
        <v>2</v>
      </c>
      <c r="O13" s="13">
        <f t="shared" si="0"/>
        <v>10</v>
      </c>
    </row>
    <row r="14" spans="2:18" x14ac:dyDescent="0.25">
      <c r="B14" s="5" t="s">
        <v>24</v>
      </c>
      <c r="C14" s="1" t="s">
        <v>32</v>
      </c>
      <c r="D14" s="9">
        <v>12</v>
      </c>
      <c r="E14" s="7">
        <v>3</v>
      </c>
      <c r="F14" s="9">
        <v>3</v>
      </c>
      <c r="H14" s="9">
        <v>1</v>
      </c>
      <c r="L14" s="9">
        <v>10</v>
      </c>
      <c r="O14" s="13">
        <f t="shared" si="0"/>
        <v>14</v>
      </c>
    </row>
    <row r="15" spans="2:18" x14ac:dyDescent="0.25">
      <c r="B15" s="5" t="s">
        <v>25</v>
      </c>
      <c r="C15" s="1" t="s">
        <v>33</v>
      </c>
      <c r="D15" s="9">
        <v>5</v>
      </c>
      <c r="E15" s="7">
        <v>2</v>
      </c>
      <c r="F15" s="9">
        <v>2</v>
      </c>
      <c r="K15" s="9">
        <v>1</v>
      </c>
      <c r="O15" s="13">
        <f t="shared" si="0"/>
        <v>3</v>
      </c>
    </row>
    <row r="16" spans="2:18" x14ac:dyDescent="0.25">
      <c r="B16" s="6" t="s">
        <v>26</v>
      </c>
      <c r="C16" s="2" t="s">
        <v>34</v>
      </c>
      <c r="D16" s="14">
        <v>30</v>
      </c>
      <c r="E16" s="8">
        <v>3</v>
      </c>
      <c r="F16" s="14">
        <v>5</v>
      </c>
      <c r="G16" s="14">
        <v>2</v>
      </c>
      <c r="H16" s="14">
        <v>3</v>
      </c>
      <c r="I16" s="14">
        <v>2</v>
      </c>
      <c r="J16" s="14"/>
      <c r="K16" s="14"/>
      <c r="L16" s="14"/>
      <c r="M16" s="14"/>
      <c r="N16" s="14"/>
      <c r="O16" s="13">
        <f t="shared" si="0"/>
        <v>12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30</v>
      </c>
      <c r="F17" s="11">
        <f t="shared" si="1"/>
        <v>99</v>
      </c>
      <c r="G17" s="11">
        <f t="shared" si="1"/>
        <v>5</v>
      </c>
      <c r="H17" s="11">
        <f t="shared" si="1"/>
        <v>7</v>
      </c>
      <c r="I17" s="11">
        <f t="shared" si="1"/>
        <v>7</v>
      </c>
      <c r="J17" s="11">
        <f t="shared" si="1"/>
        <v>6</v>
      </c>
      <c r="K17" s="11">
        <f t="shared" si="1"/>
        <v>1</v>
      </c>
      <c r="L17" s="11">
        <f t="shared" si="1"/>
        <v>13</v>
      </c>
      <c r="M17" s="11">
        <f t="shared" si="1"/>
        <v>8</v>
      </c>
      <c r="N17" s="11">
        <f t="shared" si="1"/>
        <v>1</v>
      </c>
      <c r="O17" s="12"/>
    </row>
  </sheetData>
  <pageMargins left="0.7" right="0.7" top="0.75" bottom="0.75" header="0.3" footer="0.3"/>
  <ignoredErrors>
    <ignoredError sqref="O3:O5 O7:O11 O13:O16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505A-A53F-423E-8CC6-A18CF8A5CBA2}">
  <dimension ref="B2:R17"/>
  <sheetViews>
    <sheetView workbookViewId="0">
      <selection activeCell="R15" sqref="R15"/>
    </sheetView>
  </sheetViews>
  <sheetFormatPr defaultRowHeight="15" x14ac:dyDescent="0.25"/>
  <cols>
    <col min="1" max="1" width="3.5703125" customWidth="1"/>
    <col min="2" max="2" width="15.140625" customWidth="1"/>
    <col min="3" max="3" width="13" customWidth="1"/>
    <col min="4" max="5" width="9" style="9"/>
    <col min="6" max="6" width="12" style="9" bestFit="1" customWidth="1"/>
    <col min="7" max="7" width="10.42578125" style="9" bestFit="1" customWidth="1"/>
    <col min="8" max="12" width="9" style="9"/>
    <col min="13" max="13" width="10.5703125" style="9" customWidth="1"/>
    <col min="14" max="14" width="9" style="9"/>
    <col min="15" max="15" width="11.42578125" style="9" customWidth="1"/>
    <col min="17" max="17" width="12" customWidth="1"/>
    <col min="18" max="18" width="16" customWidth="1"/>
  </cols>
  <sheetData>
    <row r="2" spans="2:18" x14ac:dyDescent="0.25">
      <c r="B2" s="4" t="s">
        <v>0</v>
      </c>
      <c r="C2" s="3" t="s">
        <v>1</v>
      </c>
      <c r="D2" s="11" t="s">
        <v>2</v>
      </c>
      <c r="E2" s="15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2" t="s">
        <v>42</v>
      </c>
      <c r="Q2" s="16" t="s">
        <v>41</v>
      </c>
      <c r="R2" s="18"/>
    </row>
    <row r="3" spans="2:18" x14ac:dyDescent="0.25">
      <c r="B3" s="5" t="s">
        <v>13</v>
      </c>
      <c r="C3" s="1"/>
      <c r="E3" s="7"/>
      <c r="O3" s="13">
        <f>SUM(F3:N3)</f>
        <v>0</v>
      </c>
      <c r="Q3" s="4" t="s">
        <v>28</v>
      </c>
      <c r="R3" s="17"/>
    </row>
    <row r="4" spans="2:18" x14ac:dyDescent="0.25">
      <c r="B4" s="5" t="s">
        <v>14</v>
      </c>
      <c r="C4" s="1"/>
      <c r="E4" s="7"/>
      <c r="O4" s="13">
        <f t="shared" ref="O4:O16" si="0">SUM(F4:N4)</f>
        <v>0</v>
      </c>
      <c r="Q4" s="4" t="s">
        <v>29</v>
      </c>
      <c r="R4" s="17"/>
    </row>
    <row r="5" spans="2:18" x14ac:dyDescent="0.25">
      <c r="B5" s="5" t="s">
        <v>15</v>
      </c>
      <c r="C5" s="1"/>
      <c r="E5" s="7"/>
      <c r="O5" s="13">
        <f t="shared" si="0"/>
        <v>0</v>
      </c>
      <c r="Q5" s="4" t="s">
        <v>30</v>
      </c>
      <c r="R5" s="17"/>
    </row>
    <row r="6" spans="2:18" x14ac:dyDescent="0.25">
      <c r="B6" s="5" t="s">
        <v>16</v>
      </c>
      <c r="C6" s="1"/>
      <c r="E6" s="7"/>
      <c r="O6" s="13">
        <f t="shared" si="0"/>
        <v>0</v>
      </c>
      <c r="Q6" s="4" t="s">
        <v>31</v>
      </c>
      <c r="R6" s="17"/>
    </row>
    <row r="7" spans="2:18" x14ac:dyDescent="0.25">
      <c r="B7" s="5" t="s">
        <v>17</v>
      </c>
      <c r="C7" s="1"/>
      <c r="E7" s="7"/>
      <c r="O7" s="13">
        <f t="shared" si="0"/>
        <v>0</v>
      </c>
      <c r="R7" s="9"/>
    </row>
    <row r="8" spans="2:18" x14ac:dyDescent="0.25">
      <c r="B8" s="5" t="s">
        <v>18</v>
      </c>
      <c r="C8" s="1"/>
      <c r="E8" s="7"/>
      <c r="O8" s="13">
        <f t="shared" si="0"/>
        <v>0</v>
      </c>
      <c r="Q8" s="4" t="s">
        <v>40</v>
      </c>
      <c r="R8" s="10">
        <f>SUM(F17:L17)</f>
        <v>0</v>
      </c>
    </row>
    <row r="9" spans="2:18" x14ac:dyDescent="0.25">
      <c r="B9" s="5" t="s">
        <v>19</v>
      </c>
      <c r="C9" s="1"/>
      <c r="E9" s="7"/>
      <c r="O9" s="13">
        <f t="shared" si="0"/>
        <v>0</v>
      </c>
      <c r="Q9" s="4" t="s">
        <v>38</v>
      </c>
      <c r="R9" s="10">
        <f>SUM(F17:G17)</f>
        <v>0</v>
      </c>
    </row>
    <row r="10" spans="2:18" x14ac:dyDescent="0.25">
      <c r="B10" s="5" t="s">
        <v>20</v>
      </c>
      <c r="C10" s="1"/>
      <c r="E10" s="7"/>
      <c r="O10" s="13">
        <f t="shared" si="0"/>
        <v>0</v>
      </c>
      <c r="Q10" s="4" t="s">
        <v>39</v>
      </c>
      <c r="R10" s="10">
        <f>SUM(M17)</f>
        <v>0</v>
      </c>
    </row>
    <row r="11" spans="2:18" x14ac:dyDescent="0.25">
      <c r="B11" s="5" t="s">
        <v>21</v>
      </c>
      <c r="C11" s="1"/>
      <c r="E11" s="7"/>
      <c r="O11" s="13">
        <f t="shared" si="0"/>
        <v>0</v>
      </c>
    </row>
    <row r="12" spans="2:18" x14ac:dyDescent="0.25">
      <c r="B12" s="5" t="s">
        <v>22</v>
      </c>
      <c r="C12" s="1"/>
      <c r="E12" s="7"/>
      <c r="O12" s="13">
        <f t="shared" si="0"/>
        <v>0</v>
      </c>
    </row>
    <row r="13" spans="2:18" x14ac:dyDescent="0.25">
      <c r="B13" s="5" t="s">
        <v>23</v>
      </c>
      <c r="C13" s="1"/>
      <c r="E13" s="7"/>
      <c r="O13" s="13">
        <f t="shared" si="0"/>
        <v>0</v>
      </c>
    </row>
    <row r="14" spans="2:18" x14ac:dyDescent="0.25">
      <c r="B14" s="5" t="s">
        <v>24</v>
      </c>
      <c r="C14" s="1"/>
      <c r="E14" s="7"/>
      <c r="O14" s="13">
        <f t="shared" si="0"/>
        <v>0</v>
      </c>
    </row>
    <row r="15" spans="2:18" x14ac:dyDescent="0.25">
      <c r="B15" s="5" t="s">
        <v>25</v>
      </c>
      <c r="C15" s="1"/>
      <c r="E15" s="7"/>
      <c r="O15" s="13">
        <f t="shared" si="0"/>
        <v>0</v>
      </c>
    </row>
    <row r="16" spans="2:18" x14ac:dyDescent="0.25">
      <c r="B16" s="6" t="s">
        <v>26</v>
      </c>
      <c r="C16" s="2"/>
      <c r="D16" s="14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3">
        <f t="shared" si="0"/>
        <v>0</v>
      </c>
    </row>
    <row r="17" spans="2:15" x14ac:dyDescent="0.25">
      <c r="B17" s="4" t="s">
        <v>27</v>
      </c>
      <c r="C17" s="3"/>
      <c r="D17" s="11"/>
      <c r="E17" s="15">
        <f t="shared" ref="E17:N17" si="1">SUM(E3:E16)</f>
        <v>0</v>
      </c>
      <c r="F17" s="11">
        <f t="shared" si="1"/>
        <v>0</v>
      </c>
      <c r="G17" s="11">
        <f t="shared" si="1"/>
        <v>0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11">
        <f t="shared" si="1"/>
        <v>0</v>
      </c>
      <c r="M17" s="11">
        <f t="shared" si="1"/>
        <v>0</v>
      </c>
      <c r="N17" s="11">
        <f t="shared" si="1"/>
        <v>0</v>
      </c>
      <c r="O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11_22_25 TODO</vt:lpstr>
      <vt:lpstr>11_19_25</vt:lpstr>
      <vt:lpstr>11_16_25</vt:lpstr>
      <vt:lpstr>11_15_25</vt:lpstr>
      <vt:lpstr>11_12_25</vt:lpstr>
      <vt:lpstr>11_9_25</vt:lpstr>
      <vt:lpstr>11_8_25</vt:lpstr>
      <vt:lpstr>11_5_25</vt:lpstr>
      <vt:lpstr>11_2_25</vt:lpstr>
      <vt:lpstr>11_1_25</vt:lpstr>
      <vt:lpstr>10_29_25</vt:lpstr>
      <vt:lpstr>10_26_25</vt:lpstr>
      <vt:lpstr>10_25_25</vt:lpstr>
      <vt:lpstr>10_22_25</vt:lpstr>
      <vt:lpstr>10_19_25</vt:lpstr>
      <vt:lpstr>10_18_25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Young</dc:creator>
  <cp:lastModifiedBy>Connor Young</cp:lastModifiedBy>
  <dcterms:created xsi:type="dcterms:W3CDTF">2025-11-26T07:01:46Z</dcterms:created>
  <dcterms:modified xsi:type="dcterms:W3CDTF">2025-11-26T16:41:50Z</dcterms:modified>
</cp:coreProperties>
</file>